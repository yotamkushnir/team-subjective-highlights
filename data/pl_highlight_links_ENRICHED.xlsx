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tures" sheetId="1" r:id="rId4"/>
  </sheets>
  <definedNames/>
  <calcPr/>
  <extLst>
    <ext uri="GoogleSheetsCustomDataVersion2">
      <go:sheetsCustomData xmlns:go="http://customooxmlschemas.google.com/" r:id="rId5" roundtripDataChecksum="VupM8yL/dFnPnF2/KroHh+JAzd52sUwT8Flc+8W9aP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======
ID#AAAB5lBGNMw
Yotam Kushnir    (2026-05-03 09:35:43)
(total time - postgame celebrations) / total clips</t>
      </text>
    </comment>
    <comment authorId="0" ref="U1">
      <text>
        <t xml:space="preserve">======
ID#AAAB5lBGNLQ
Yotam Kushnir    (2026-05-03 07:00:27)
if the whistle is shown - the time is from the start of the play</t>
      </text>
    </comment>
    <comment authorId="0" ref="Q1">
      <text>
        <t xml:space="preserve">======
ID#AAAB5KU1ZRs
Yotam Kushnir    (2026-05-01 14:08:43)
this will help show "objectivity":
row 2 wolves v liverpool has 6 clips in each, and 3 goals. both have 3 loser chances (3 goals + 3 loser chances = 6 total clips) so the video is neutral.</t>
      </text>
    </comment>
    <comment authorId="0" ref="AE1">
      <text>
        <t xml:space="preserve">======
ID#AAAB5KU1ZRo
Yotam Kushnir    (2026-05-01 14:08:03)
this will help show "objectivity":
row 2 wolves v liverpool has 6 clips in each, and 3 goals. both have 3 loser chances (3 goals + 3 loser chances = 6 total clips) so the video is neutral.</t>
      </text>
    </comment>
    <comment authorId="0" ref="AN3">
      <text>
        <t xml:space="preserve">======
ID#AAAB5KU1ZRg
Yotam Kushnir    (2026-05-01 12:23:42)
goal between keepers legs</t>
      </text>
    </comment>
    <comment authorId="0" ref="AO1">
      <text>
        <t xml:space="preserve">======
ID#AAAB5KU1ZRc
Yotam Kushnir    (2026-05-01 12:22:35)
a gk save on a rival kick is counted as a self replay.
a rival replay would be a shot off target or to the post (where there is no gk save), a good defensive act (not a goal line save), etc - something that highlights the rival team.</t>
      </text>
    </comment>
    <comment authorId="0" ref="AM1">
      <text>
        <t xml:space="preserve">======
ID#AAAB5KU1ZRY
Yotam Kushnir    (2026-05-01 12:22:27)
a gk save on a rival kick is counted as a self replay.
a rival replay would be a shot off target or to the post (where there is no gk save), a good defensive act (not a goal line save), etc - something that highlights the rival team.</t>
      </text>
    </comment>
    <comment authorId="0" ref="AB1">
      <text>
        <t xml:space="preserve">======
ID#AAAB5KU1ZRU
Yotam Kushnir    (2026-05-01 12:22:14)
a gk save on a rival kick is counted as a self replay.
a rival replay would be a shot off target or to the post (where there is no gk save), a good defensive act (not a goal line save), a disqualified goal, etc - something that highlights the rival team.</t>
      </text>
    </comment>
    <comment authorId="0" ref="Z1">
      <text>
        <t xml:space="preserve">======
ID#AAAB5KU1ZRQ
Yotam Kushnir    (2026-05-01 12:16:59)
a gk save on a rival kick is counted as a self replay.
a rival replay would be a shot off target or to the post (where there is no gk save), a good defensive act (not a goal line save), etc - something that highlights the rival team.</t>
      </text>
    </comment>
  </commentList>
  <extLst>
    <ext uri="GoogleSheetsCustomDataVersion2">
      <go:sheetsCustomData xmlns:go="http://customooxmlschemas.google.com/" r:id="rId1" roundtripDataSignature="AMtx7mgWodgdnC+Nzz+XcQ3NsX6hWZvc+Q=="/>
    </ext>
  </extLst>
</comments>
</file>

<file path=xl/sharedStrings.xml><?xml version="1.0" encoding="utf-8"?>
<sst xmlns="http://schemas.openxmlformats.org/spreadsheetml/2006/main" count="798" uniqueCount="341">
  <si>
    <t>Game id</t>
  </si>
  <si>
    <t>date</t>
  </si>
  <si>
    <t>matchday</t>
  </si>
  <si>
    <t>game name</t>
  </si>
  <si>
    <t>score</t>
  </si>
  <si>
    <t>Winning Team</t>
  </si>
  <si>
    <t>Losing Team</t>
  </si>
  <si>
    <t>winner goals</t>
  </si>
  <si>
    <t>loser goals</t>
  </si>
  <si>
    <t>home highlight link</t>
  </si>
  <si>
    <t>away highlight link</t>
  </si>
  <si>
    <t>who won</t>
  </si>
  <si>
    <t>winner highlight link</t>
  </si>
  <si>
    <t>loser highlight link</t>
  </si>
  <si>
    <t>winner total lenght</t>
  </si>
  <si>
    <t>winner amount of total clips</t>
  </si>
  <si>
    <t>winner amount of self non-goal chances</t>
  </si>
  <si>
    <t>winner amount of rival non-goal chances</t>
  </si>
  <si>
    <t>winner average clip lenght</t>
  </si>
  <si>
    <t>winner total self celebrations time</t>
  </si>
  <si>
    <t>winner end of game celebration (after final whistle)</t>
  </si>
  <si>
    <t>winner total rival celebrations time</t>
  </si>
  <si>
    <t>winner total self reaction time</t>
  </si>
  <si>
    <t>winner total rival reaction time</t>
  </si>
  <si>
    <t>winner total self replays - goals</t>
  </si>
  <si>
    <t>winner total self replays - non goals</t>
  </si>
  <si>
    <t>winner total rival replays - goals</t>
  </si>
  <si>
    <t>winner total rival replays - non goals</t>
  </si>
  <si>
    <t>loser total lenght</t>
  </si>
  <si>
    <t>loser amount of total clips</t>
  </si>
  <si>
    <t>loser amount of self non-goal chances</t>
  </si>
  <si>
    <t>loser amount of rival non-goal chances</t>
  </si>
  <si>
    <t>loser average clip lenght</t>
  </si>
  <si>
    <t>loser total self celebrations time</t>
  </si>
  <si>
    <t>loser total rival celebrations time</t>
  </si>
  <si>
    <t>loser total self reaction time</t>
  </si>
  <si>
    <t>loser total rival reaction time</t>
  </si>
  <si>
    <t>loser total self replays - goals</t>
  </si>
  <si>
    <t>loser total self replays - non goals</t>
  </si>
  <si>
    <t>loser total rival replays - goals</t>
  </si>
  <si>
    <t>loser total rival replays - non goals</t>
  </si>
  <si>
    <t>Comments</t>
  </si>
  <si>
    <t>001</t>
  </si>
  <si>
    <t>2026-03-03</t>
  </si>
  <si>
    <t>Wolves v Liverpool</t>
  </si>
  <si>
    <t>2-1</t>
  </si>
  <si>
    <t>Wolves</t>
  </si>
  <si>
    <t>Liverpool</t>
  </si>
  <si>
    <t>video not found</t>
  </si>
  <si>
    <t>Home</t>
  </si>
  <si>
    <t>https://youtu.be/oBFLXm6FtFg?si=ugVr3On3ARECkTtC</t>
  </si>
  <si>
    <t>https://youtu.be/ZhH-jhhsrFQ?si=Krhc1DLCjgc94CT5</t>
  </si>
  <si>
    <t>21</t>
  </si>
  <si>
    <t>0</t>
  </si>
  <si>
    <t>6</t>
  </si>
  <si>
    <t>2</t>
  </si>
  <si>
    <t>3</t>
  </si>
  <si>
    <t>total celebration / goals self and rival</t>
  </si>
  <si>
    <t>002</t>
  </si>
  <si>
    <t>2026-03-04</t>
  </si>
  <si>
    <t>Brighton v Arsenal</t>
  </si>
  <si>
    <t>0-1</t>
  </si>
  <si>
    <t>Arsenal</t>
  </si>
  <si>
    <t>Brighton</t>
  </si>
  <si>
    <t>Away</t>
  </si>
  <si>
    <t>https://youtu.be/YDHd-idNaNo?si=AyH7C86mhYZxDMJv</t>
  </si>
  <si>
    <t>https://youtu.be/GGrwdAcNQUg?si=Uil9u9aLnOaUyzU4</t>
  </si>
  <si>
    <t>4</t>
  </si>
  <si>
    <t>15</t>
  </si>
  <si>
    <t>no goals</t>
  </si>
  <si>
    <t>loser showed potential foul for penalty (not called)</t>
  </si>
  <si>
    <t>total replays / goals self and rival</t>
  </si>
  <si>
    <t>003</t>
  </si>
  <si>
    <t>2026-03-14</t>
  </si>
  <si>
    <t>Burnley v Bournemouth</t>
  </si>
  <si>
    <t>0-0</t>
  </si>
  <si>
    <t>https://www.youtube.com/watch?v=GYqJNLDPmYA</t>
  </si>
  <si>
    <t>Draw</t>
  </si>
  <si>
    <t>total self replays go up if not many goals?</t>
  </si>
  <si>
    <t>004</t>
  </si>
  <si>
    <t>Sunderland v Brighton</t>
  </si>
  <si>
    <t>Sunderland</t>
  </si>
  <si>
    <t>https://www.youtube.com/watch?v=sq_a2aAOG9w</t>
  </si>
  <si>
    <t>https://youtu.be/82ISPc_XYqM?si=rJdZNKNZ77ja6hiE</t>
  </si>
  <si>
    <t>1</t>
  </si>
  <si>
    <t>3 - var cancelled - showed anyway</t>
  </si>
  <si>
    <t>1 - var cancelled - showed anyway</t>
  </si>
  <si>
    <t>var cancelled goal - showed celebration + replay anyway</t>
  </si>
  <si>
    <t>005</t>
  </si>
  <si>
    <t>Arsenal v Everton</t>
  </si>
  <si>
    <t>2-0</t>
  </si>
  <si>
    <t>Everton</t>
  </si>
  <si>
    <t>https://www.youtube.com/watch?v=JzgVOFb7sq0</t>
  </si>
  <si>
    <t>https://youtu.be/rGgyxS9AHLc?si=MCYHRit8cb6hYFTt</t>
  </si>
  <si>
    <t>19</t>
  </si>
  <si>
    <t>006</t>
  </si>
  <si>
    <t>Chelsea v Newcastle</t>
  </si>
  <si>
    <t>Newcastle</t>
  </si>
  <si>
    <t>Chelsea</t>
  </si>
  <si>
    <t>https://www.youtube.com/watch?v=OQ4Zg2LG4yI</t>
  </si>
  <si>
    <t>https://youtu.be/gi__poZCC1A?si=mTVGF8rrHrr-uvBS</t>
  </si>
  <si>
    <t>007</t>
  </si>
  <si>
    <t>West Ham v Man City</t>
  </si>
  <si>
    <t>1-1</t>
  </si>
  <si>
    <t>008</t>
  </si>
  <si>
    <t>2026-03-15</t>
  </si>
  <si>
    <t>Crystal Palace v Leeds</t>
  </si>
  <si>
    <t>009</t>
  </si>
  <si>
    <t>Man United v Aston Villa</t>
  </si>
  <si>
    <t>3-1</t>
  </si>
  <si>
    <t>Man United</t>
  </si>
  <si>
    <t>Aston Villa</t>
  </si>
  <si>
    <t>https://www.youtube.com/watch?v=emjZac5MMSY</t>
  </si>
  <si>
    <t>https://youtu.be/fkde-q_VEkM?si=TImxTDk0Es9MnqEW</t>
  </si>
  <si>
    <t>010</t>
  </si>
  <si>
    <t>Nott'm Forest v Fulham</t>
  </si>
  <si>
    <t>011</t>
  </si>
  <si>
    <t>Liverpool v Tottenham</t>
  </si>
  <si>
    <t>https://www.youtube.com/watch?v=JgYswxF7OmA</t>
  </si>
  <si>
    <t>012</t>
  </si>
  <si>
    <t>2026-03-16</t>
  </si>
  <si>
    <t>Brentford v Wolves</t>
  </si>
  <si>
    <t>2-2</t>
  </si>
  <si>
    <t>https://www.youtube.com/watch?v=S33ByZir2Rc</t>
  </si>
  <si>
    <t>013</t>
  </si>
  <si>
    <t>2026-03-20</t>
  </si>
  <si>
    <t>Bournemouth v Man United</t>
  </si>
  <si>
    <t>014</t>
  </si>
  <si>
    <t>2026-03-21</t>
  </si>
  <si>
    <t>Brighton v Liverpool</t>
  </si>
  <si>
    <t>https://www.youtube.com/watch?v=dsK-lpwbYZQ</t>
  </si>
  <si>
    <t>https://youtu.be/LXaShdaakNU?si=L7FSky2T667r9G3F</t>
  </si>
  <si>
    <t>10</t>
  </si>
  <si>
    <t>total clips dont include var decision</t>
  </si>
  <si>
    <t>015</t>
  </si>
  <si>
    <t>Fulham v Burnley</t>
  </si>
  <si>
    <t>Fulham</t>
  </si>
  <si>
    <t>Burnley</t>
  </si>
  <si>
    <t>https://www.youtube.com/watch?v=VUjNsI52sB4</t>
  </si>
  <si>
    <t>https://youtu.be/9BxxBhS1E74?si=HuRPb34EENWn4Pcu</t>
  </si>
  <si>
    <t>5</t>
  </si>
  <si>
    <t>016</t>
  </si>
  <si>
    <t>Everton v Chelsea</t>
  </si>
  <si>
    <t>3-0</t>
  </si>
  <si>
    <t>https://www.youtube.com/watch?v=2qjaZgDIh78</t>
  </si>
  <si>
    <t>https://www.youtube.com/watch?v=5S4u1Fw7tqc</t>
  </si>
  <si>
    <t>https://youtu.be/kS8p15ZzcYY?si=W0D5J1CorK6RdtTq</t>
  </si>
  <si>
    <t>18</t>
  </si>
  <si>
    <t>017</t>
  </si>
  <si>
    <t>Leeds v Brentford</t>
  </si>
  <si>
    <t>https://www.youtube.com/watch?v=KgRuemQlElM</t>
  </si>
  <si>
    <t>018</t>
  </si>
  <si>
    <t>2026-03-22</t>
  </si>
  <si>
    <t>Newcastle v Sunderland</t>
  </si>
  <si>
    <t>1-2</t>
  </si>
  <si>
    <t>https://youtu.be/culq4kOAWes?si=FimhSVVRti_Lb5ra</t>
  </si>
  <si>
    <t>20</t>
  </si>
  <si>
    <t>019</t>
  </si>
  <si>
    <t>Aston Villa v West Ham</t>
  </si>
  <si>
    <t>West Ham</t>
  </si>
  <si>
    <t>https://www.youtube.com/watch?v=A4_CgjwzWWM</t>
  </si>
  <si>
    <t>https://youtu.be/csV8T5uHmqE?si=khBhYsTNyBVDcUrj</t>
  </si>
  <si>
    <t>16</t>
  </si>
  <si>
    <t>020</t>
  </si>
  <si>
    <t>Tottenham v Nott'm Forest</t>
  </si>
  <si>
    <t>0-3</t>
  </si>
  <si>
    <t>Nott'm Forest</t>
  </si>
  <si>
    <t>Tottenham</t>
  </si>
  <si>
    <t>https://www.youtube.com/watch?v=5kTpZDs1Ieg</t>
  </si>
  <si>
    <t>https://youtu.be/Rgn0D1ZDd64?si=rBOhILsxybLEOtLa</t>
  </si>
  <si>
    <t>11</t>
  </si>
  <si>
    <t>021</t>
  </si>
  <si>
    <t>2026-04-10</t>
  </si>
  <si>
    <t>West Ham v Wolves</t>
  </si>
  <si>
    <t>4-0</t>
  </si>
  <si>
    <t>https://youtu.be/pmCIXwDxRNQ?si=HNGNiqsTc1qwYufj</t>
  </si>
  <si>
    <t>https://youtu.be/IKdT0-Ep5RM?si=5fvKjnKhvKKe0nU5</t>
  </si>
  <si>
    <t>30</t>
  </si>
  <si>
    <t>022</t>
  </si>
  <si>
    <t>2026-04-11</t>
  </si>
  <si>
    <t>Arsenal v Bournemouth</t>
  </si>
  <si>
    <t>Bournemouth</t>
  </si>
  <si>
    <t>https://www.youtube.com/watch?v=6y-5cQa2mJM</t>
  </si>
  <si>
    <t>https://youtu.be/mX4LVy1i6QA?si=mS79xBm-VhpAaa13</t>
  </si>
  <si>
    <t>17</t>
  </si>
  <si>
    <t>total clips did not include handball before penalty, showed offside cancelled goal + replay</t>
  </si>
  <si>
    <t>023</t>
  </si>
  <si>
    <t>Brentford v Everton</t>
  </si>
  <si>
    <t>https://www.youtube.com/watch?v=qactkNZnsUY</t>
  </si>
  <si>
    <t>https://www.youtube.com/watch?v=8uW6sWxW8CU</t>
  </si>
  <si>
    <t>024</t>
  </si>
  <si>
    <t>Burnley v Brighton</t>
  </si>
  <si>
    <t>0-2</t>
  </si>
  <si>
    <t>https://www.youtube.com/watch?v=E4llkLzDQPM</t>
  </si>
  <si>
    <t>https://www.youtube.com/watch?v=43r5O9g1ASM</t>
  </si>
  <si>
    <t>025</t>
  </si>
  <si>
    <t>Liverpool v Fulham</t>
  </si>
  <si>
    <t>https://www.youtube.com/watch?v=RiAO3UyJz-4</t>
  </si>
  <si>
    <t>https://www.youtube.com/watch?v=PhJK7G84GQY</t>
  </si>
  <si>
    <t>o</t>
  </si>
  <si>
    <t>026</t>
  </si>
  <si>
    <t>2026-04-12</t>
  </si>
  <si>
    <t>Crystal Palace v Newcastle</t>
  </si>
  <si>
    <t>Crystal Palace</t>
  </si>
  <si>
    <t>https://www.youtube.com/watch?v=5w7dsxykU98</t>
  </si>
  <si>
    <t>https://youtu.be/LJYmVywzWPs?si=RTPdmDzFscim982n</t>
  </si>
  <si>
    <t>9</t>
  </si>
  <si>
    <t>12</t>
  </si>
  <si>
    <t>winner 31 seconds intro REDUCED FROM TOTAL, total clips not involving foul leading to penalty, and post game celebrations.</t>
  </si>
  <si>
    <t>027</t>
  </si>
  <si>
    <t>Nott'm Forest v Aston Villa</t>
  </si>
  <si>
    <t>https://www.youtube.com/watch?v=77phd1oswyU</t>
  </si>
  <si>
    <t>028</t>
  </si>
  <si>
    <t>Sunderland v Tottenham</t>
  </si>
  <si>
    <t>1-0</t>
  </si>
  <si>
    <t>https://www.youtube.com/watch?v=LertvEbmSOA</t>
  </si>
  <si>
    <t>https://www.youtube.com/watch?v=DwLpm3UWJBI</t>
  </si>
  <si>
    <t>7</t>
  </si>
  <si>
    <t>029</t>
  </si>
  <si>
    <t>Chelsea v Man City</t>
  </si>
  <si>
    <t>Man City</t>
  </si>
  <si>
    <t>https://www.youtube.com/watch?v=tR0SKNLX6Cs</t>
  </si>
  <si>
    <t>https://www.youtube.com/watch?v=7DHgZletlfo</t>
  </si>
  <si>
    <t>showed cancelled goal + celebration</t>
  </si>
  <si>
    <t>030</t>
  </si>
  <si>
    <t>2026-04-13</t>
  </si>
  <si>
    <t>Man United v Leeds</t>
  </si>
  <si>
    <t>Leeds</t>
  </si>
  <si>
    <t>https://www.youtube.com/watch?v=jTr0YZ22GkE</t>
  </si>
  <si>
    <t>https://youtu.be/nFvmtZuTxdc?si=3pYoIvkcd1Cyia5n</t>
  </si>
  <si>
    <t>64</t>
  </si>
  <si>
    <t>longer vids (W4,L3) - w 15 secons intro + 17 outro REDUCED from total; L 25 seconds intro + 20 ourtro REDUCED FROM TOTAL</t>
  </si>
  <si>
    <t>031</t>
  </si>
  <si>
    <t>2026-04-18</t>
  </si>
  <si>
    <t>Brentford v Fulham</t>
  </si>
  <si>
    <t>https://www.youtube.com/watch?v=xq0j_Q3JAuU</t>
  </si>
  <si>
    <t>032</t>
  </si>
  <si>
    <t>Leeds v Wolves</t>
  </si>
  <si>
    <t>https://youtu.be/TLd9hloYO7M?si=Kjvf6ooEnpAj-DYc</t>
  </si>
  <si>
    <t>https://youtu.be/RVz03pEB9as?si=gEPAe4wAF1X0JbRv</t>
  </si>
  <si>
    <t>23</t>
  </si>
  <si>
    <t>total clips dont include foul before penalty. w 14 seconds intro +18 outro REDUCED FROM TOTAL. L 20 seconds outro REDUCED.</t>
  </si>
  <si>
    <t>033</t>
  </si>
  <si>
    <t>Newcastle v Bournemouth</t>
  </si>
  <si>
    <t>https://youtu.be/TUgSiO_Y-zo?si=xLPAhQNKd6leeaKu</t>
  </si>
  <si>
    <t>8</t>
  </si>
  <si>
    <t>var not included in total clips</t>
  </si>
  <si>
    <t>034</t>
  </si>
  <si>
    <t>Tottenham v Brighton</t>
  </si>
  <si>
    <t>https://www.youtube.com/watch?v=XC7PWJqCVZk</t>
  </si>
  <si>
    <t>https://www.youtube.com/watch?v=lfIFYugqkrI</t>
  </si>
  <si>
    <t>035</t>
  </si>
  <si>
    <t>Chelsea v Man United</t>
  </si>
  <si>
    <t>https://www.youtube.com/watch?v=qskjcBb1Au0</t>
  </si>
  <si>
    <t>https://www.youtube.com/watch?v=MUPKfTIy3iU</t>
  </si>
  <si>
    <t>47</t>
  </si>
  <si>
    <t>total clips not include final whistle play. w 20- sec putro reduced</t>
  </si>
  <si>
    <t>036</t>
  </si>
  <si>
    <t>2026-04-19</t>
  </si>
  <si>
    <t>Aston Villa v Sunderland</t>
  </si>
  <si>
    <t>4-3</t>
  </si>
  <si>
    <t>https://www.youtube.com/watch?v=i-KO53tXtUg</t>
  </si>
  <si>
    <t>https://www.youtube.com/watch?v=z95jx4acta4</t>
  </si>
  <si>
    <t>https://youtu.be/_DWFIdXu0jo?si=Jog5fn9NDc7CPf3o</t>
  </si>
  <si>
    <t>28</t>
  </si>
  <si>
    <t>14</t>
  </si>
  <si>
    <t>w long vid</t>
  </si>
  <si>
    <t>037</t>
  </si>
  <si>
    <t>Everton v Liverpool</t>
  </si>
  <si>
    <t>https://www.youtube.com/watch?v=EI7Qrg7tdqo</t>
  </si>
  <si>
    <t>https://www.youtube.com/watch?v=eQpSTeSeqEM</t>
  </si>
  <si>
    <t>winner and loser vid - L celebration 3 secs of dq goal</t>
  </si>
  <si>
    <t>038</t>
  </si>
  <si>
    <t>Nott'm Forest v Burnley</t>
  </si>
  <si>
    <t>4-1</t>
  </si>
  <si>
    <t>https://www.youtube.com/watch?v=w_kYKv3NzgE</t>
  </si>
  <si>
    <t>https://youtu.be/3ifunPo1kew?si=YEUGeEERuvM4hqJ-</t>
  </si>
  <si>
    <t>winner include 60 secs intro REDUCED</t>
  </si>
  <si>
    <t>039</t>
  </si>
  <si>
    <t>Man City v Arsenal</t>
  </si>
  <si>
    <t>https://www.youtube.com/watch?v=T7Vk4sjuj5Q</t>
  </si>
  <si>
    <t>https://www.youtube.com/watch?v=_hjLP4HKgn0</t>
  </si>
  <si>
    <t>w 16 sec outro reduced</t>
  </si>
  <si>
    <t>040</t>
  </si>
  <si>
    <t>2026-04-20</t>
  </si>
  <si>
    <t>Crystal Palace v West Ham</t>
  </si>
  <si>
    <t>041</t>
  </si>
  <si>
    <t>2026-04-21</t>
  </si>
  <si>
    <t>Brighton v Chelsea</t>
  </si>
  <si>
    <t>https://www.youtube.com/watch?v=EsxAUhJnU8M</t>
  </si>
  <si>
    <t>https://www.youtube.com/watch?v=_N21d2dw5iU</t>
  </si>
  <si>
    <t>13</t>
  </si>
  <si>
    <t>042</t>
  </si>
  <si>
    <t>2026-04-22</t>
  </si>
  <si>
    <t>Bournemouth v Leeds</t>
  </si>
  <si>
    <t>043</t>
  </si>
  <si>
    <t>Burnley v Man City</t>
  </si>
  <si>
    <t>https://www.youtube.com/watch?v=c49YWbcpMwI</t>
  </si>
  <si>
    <t>https://www.youtube.com/watch?v=i-vpQJW_XPY</t>
  </si>
  <si>
    <t>city as winner shows celebration in hook. w 15 sec outro resuced</t>
  </si>
  <si>
    <t>044</t>
  </si>
  <si>
    <t>2026-04-24</t>
  </si>
  <si>
    <t>Sunderland v Nott'm Forest</t>
  </si>
  <si>
    <t>0-5</t>
  </si>
  <si>
    <t>https://www.youtube.com/watch?v=EZgmydbaW7Q</t>
  </si>
  <si>
    <t>https://youtu.be/uyZH5Qx9MH0?si=lui1TeqdxykOl_Y8</t>
  </si>
  <si>
    <t>60</t>
  </si>
  <si>
    <t>included celebration for dq goal</t>
  </si>
  <si>
    <t>045</t>
  </si>
  <si>
    <t>2026-04-25</t>
  </si>
  <si>
    <t>Fulham v Aston Villa</t>
  </si>
  <si>
    <t>https://www.youtube.com/watch?v=IvvEuwE5vwo</t>
  </si>
  <si>
    <t>https://youtu.be/-Ce4_4BO8oc?si=-aLBmMDtw1CALWDT</t>
  </si>
  <si>
    <t>included celebration for dq goal. total clips dont include var</t>
  </si>
  <si>
    <t>046</t>
  </si>
  <si>
    <t>Liverpool v Crystal Palace</t>
  </si>
  <si>
    <t>https://www.youtube.com/watch?v=OWJJ_9ZIyzo</t>
  </si>
  <si>
    <t>https://youtu.be/bl-7t1unHcQ?si=-ExEyvt6WsLK0bsU</t>
  </si>
  <si>
    <t>loser 35 sec intro reduced</t>
  </si>
  <si>
    <t>047</t>
  </si>
  <si>
    <t>West Ham v Everton</t>
  </si>
  <si>
    <t>https://www.youtube.com/watch?v=VBZQ6XPZPRY</t>
  </si>
  <si>
    <t>https://youtu.be/QOHgcL02m2c?si=CtWapkRf-O6jcn-I</t>
  </si>
  <si>
    <t>24</t>
  </si>
  <si>
    <t>winner 8 sec outro reduced</t>
  </si>
  <si>
    <t>048</t>
  </si>
  <si>
    <t>Wolves v Tottenham</t>
  </si>
  <si>
    <t>https://www.youtube.com/watch?v=t107mzWJVTs</t>
  </si>
  <si>
    <t>https://youtu.be/p9KfCqLDgco?si=qIROkTdNBHsA6DHP</t>
  </si>
  <si>
    <t>winner 15 sec outro reduced</t>
  </si>
  <si>
    <t>049</t>
  </si>
  <si>
    <t>Arsenal v Newcastle</t>
  </si>
  <si>
    <t>https://www.youtube.com/watch?v=PhgqlHkYQbc</t>
  </si>
  <si>
    <t>https://www.youtube.com/watch?v=ToDtJppyKYM</t>
  </si>
  <si>
    <t>050</t>
  </si>
  <si>
    <t>2026-04-27</t>
  </si>
  <si>
    <t>Man United v Brentford</t>
  </si>
  <si>
    <t>Brentford</t>
  </si>
  <si>
    <t>https://www.youtube.com/watch?v=rxl5kEiV6Xs</t>
  </si>
  <si>
    <t>https://www.youtube.com/watch?v=WBCU-Y9tegw</t>
  </si>
  <si>
    <t>winner 20 sec outro reduced. loser 8intro+7 outro reduced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</si>
</sst>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u/>
      <color rgb="FF0000FF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00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49" xfId="0" applyAlignment="1" applyBorder="1" applyFont="1" applyNumberForma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2" fontId="2" numFmtId="49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49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3" fontId="2" numFmtId="0" xfId="0" applyFill="1" applyFont="1"/>
    <xf borderId="0" fillId="3" fontId="5" numFmtId="0" xfId="0" applyFont="1"/>
    <xf borderId="0" fillId="3" fontId="4" numFmtId="0" xfId="0" applyFont="1"/>
    <xf borderId="0" fillId="3" fontId="4" numFmtId="0" xfId="0" applyAlignment="1" applyFont="1">
      <alignment readingOrder="0"/>
    </xf>
    <xf borderId="0" fillId="3" fontId="4" numFmtId="49" xfId="0" applyFont="1" applyNumberFormat="1"/>
    <xf borderId="2" fillId="3" fontId="4" numFmtId="0" xfId="0" applyBorder="1" applyFont="1"/>
    <xf borderId="3" fillId="3" fontId="4" numFmtId="0" xfId="0" applyBorder="1" applyFont="1"/>
    <xf borderId="0" fillId="3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2" numFmtId="49" xfId="0" applyAlignment="1" applyFill="1" applyFont="1" applyNumberForma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4" fontId="8" numFmtId="0" xfId="0" applyFont="1"/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49" xfId="0" applyAlignment="1" applyFont="1" applyNumberFormat="1">
      <alignment readingOrder="0"/>
    </xf>
    <xf borderId="2" fillId="4" fontId="4" numFmtId="0" xfId="0" applyBorder="1" applyFont="1"/>
    <xf borderId="3" fillId="4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0" fillId="3" fontId="4" numFmtId="49" xfId="0" applyAlignment="1" applyFont="1" applyNumberFormat="1">
      <alignment readingOrder="0"/>
    </xf>
    <xf borderId="0" fillId="0" fontId="4" numFmtId="49" xfId="0" applyFont="1" applyNumberFormat="1"/>
    <xf borderId="2" fillId="0" fontId="4" numFmtId="0" xfId="0" applyBorder="1" applyFont="1"/>
    <xf borderId="3" fillId="0" fontId="4" numFmtId="0" xfId="0" applyBorder="1" applyFont="1"/>
    <xf borderId="0" fillId="0" fontId="4" numFmtId="0" xfId="0" applyFont="1"/>
    <xf borderId="0" fillId="2" fontId="4" numFmtId="4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pmCIXwDxRNQ?si=HNGNiqsTc1qwYufj" TargetMode="External"/><Relationship Id="rId42" Type="http://schemas.openxmlformats.org/officeDocument/2006/relationships/hyperlink" Target="https://www.youtube.com/watch?v=6y-5cQa2mJM" TargetMode="External"/><Relationship Id="rId41" Type="http://schemas.openxmlformats.org/officeDocument/2006/relationships/hyperlink" Target="https://youtu.be/IKdT0-Ep5RM?si=5fvKjnKhvKKe0nU5" TargetMode="External"/><Relationship Id="rId44" Type="http://schemas.openxmlformats.org/officeDocument/2006/relationships/hyperlink" Target="https://www.youtube.com/watch?v=6y-5cQa2mJM" TargetMode="External"/><Relationship Id="rId43" Type="http://schemas.openxmlformats.org/officeDocument/2006/relationships/hyperlink" Target="https://youtu.be/mX4LVy1i6QA?si=mS79xBm-VhpAaa13" TargetMode="External"/><Relationship Id="rId46" Type="http://schemas.openxmlformats.org/officeDocument/2006/relationships/hyperlink" Target="https://www.youtube.com/watch?v=8uW6sWxW8CU" TargetMode="External"/><Relationship Id="rId45" Type="http://schemas.openxmlformats.org/officeDocument/2006/relationships/hyperlink" Target="https://www.youtube.com/watch?v=qactkNZnsUY" TargetMode="External"/><Relationship Id="rId107" Type="http://schemas.openxmlformats.org/officeDocument/2006/relationships/hyperlink" Target="https://www.youtube.com/watch?v=IvvEuwE5vwo" TargetMode="External"/><Relationship Id="rId106" Type="http://schemas.openxmlformats.org/officeDocument/2006/relationships/hyperlink" Target="https://youtu.be/-Ce4_4BO8oc?si=-aLBmMDtw1CALWDT" TargetMode="External"/><Relationship Id="rId105" Type="http://schemas.openxmlformats.org/officeDocument/2006/relationships/hyperlink" Target="https://www.youtube.com/watch?v=IvvEuwE5vwo" TargetMode="External"/><Relationship Id="rId104" Type="http://schemas.openxmlformats.org/officeDocument/2006/relationships/hyperlink" Target="https://www.youtube.com/watch?v=EZgmydbaW7Q" TargetMode="External"/><Relationship Id="rId109" Type="http://schemas.openxmlformats.org/officeDocument/2006/relationships/hyperlink" Target="https://www.youtube.com/watch?v=OWJJ_9ZIyzo" TargetMode="External"/><Relationship Id="rId108" Type="http://schemas.openxmlformats.org/officeDocument/2006/relationships/hyperlink" Target="https://www.youtube.com/watch?v=OWJJ_9ZIyzo" TargetMode="External"/><Relationship Id="rId48" Type="http://schemas.openxmlformats.org/officeDocument/2006/relationships/hyperlink" Target="https://www.youtube.com/watch?v=43r5O9g1ASM" TargetMode="External"/><Relationship Id="rId47" Type="http://schemas.openxmlformats.org/officeDocument/2006/relationships/hyperlink" Target="https://www.youtube.com/watch?v=E4llkLzDQPM" TargetMode="External"/><Relationship Id="rId49" Type="http://schemas.openxmlformats.org/officeDocument/2006/relationships/hyperlink" Target="https://www.youtube.com/watch?v=43r5O9g1ASM" TargetMode="External"/><Relationship Id="rId103" Type="http://schemas.openxmlformats.org/officeDocument/2006/relationships/hyperlink" Target="https://youtu.be/uyZH5Qx9MH0?si=lui1TeqdxykOl_Y8" TargetMode="External"/><Relationship Id="rId102" Type="http://schemas.openxmlformats.org/officeDocument/2006/relationships/hyperlink" Target="https://www.youtube.com/watch?v=EZgmydbaW7Q" TargetMode="External"/><Relationship Id="rId101" Type="http://schemas.openxmlformats.org/officeDocument/2006/relationships/hyperlink" Target="https://www.youtube.com/watch?v=c49YWbcpMwI" TargetMode="External"/><Relationship Id="rId100" Type="http://schemas.openxmlformats.org/officeDocument/2006/relationships/hyperlink" Target="https://www.youtube.com/watch?v=i-vpQJW_XPY" TargetMode="External"/><Relationship Id="rId31" Type="http://schemas.openxmlformats.org/officeDocument/2006/relationships/hyperlink" Target="https://www.youtube.com/watch?v=KgRuemQlElM" TargetMode="External"/><Relationship Id="rId30" Type="http://schemas.openxmlformats.org/officeDocument/2006/relationships/hyperlink" Target="https://youtu.be/kS8p15ZzcYY?si=W0D5J1CorK6RdtTq" TargetMode="External"/><Relationship Id="rId33" Type="http://schemas.openxmlformats.org/officeDocument/2006/relationships/hyperlink" Target="https://youtu.be/culq4kOAWes?si=FimhSVVRti_Lb5ra" TargetMode="External"/><Relationship Id="rId32" Type="http://schemas.openxmlformats.org/officeDocument/2006/relationships/hyperlink" Target="https://youtu.be/culq4kOAWes?si=FimhSVVRti_Lb5ra" TargetMode="External"/><Relationship Id="rId35" Type="http://schemas.openxmlformats.org/officeDocument/2006/relationships/hyperlink" Target="https://www.youtube.com/watch?v=A4_CgjwzWWM" TargetMode="External"/><Relationship Id="rId34" Type="http://schemas.openxmlformats.org/officeDocument/2006/relationships/hyperlink" Target="https://www.youtube.com/watch?v=A4_CgjwzWWM" TargetMode="External"/><Relationship Id="rId37" Type="http://schemas.openxmlformats.org/officeDocument/2006/relationships/hyperlink" Target="https://www.youtube.com/watch?v=5kTpZDs1Ieg" TargetMode="External"/><Relationship Id="rId36" Type="http://schemas.openxmlformats.org/officeDocument/2006/relationships/hyperlink" Target="https://youtu.be/csV8T5uHmqE?si=khBhYsTNyBVDcUrj" TargetMode="External"/><Relationship Id="rId39" Type="http://schemas.openxmlformats.org/officeDocument/2006/relationships/hyperlink" Target="https://www.youtube.com/watch?v=5kTpZDs1Ieg" TargetMode="External"/><Relationship Id="rId38" Type="http://schemas.openxmlformats.org/officeDocument/2006/relationships/hyperlink" Target="https://youtu.be/Rgn0D1ZDd64?si=rBOhILsxybLEOtLa" TargetMode="External"/><Relationship Id="rId20" Type="http://schemas.openxmlformats.org/officeDocument/2006/relationships/hyperlink" Target="https://www.youtube.com/watch?v=S33ByZir2Rc" TargetMode="External"/><Relationship Id="rId22" Type="http://schemas.openxmlformats.org/officeDocument/2006/relationships/hyperlink" Target="https://www.youtube.com/watch?v=dsK-lpwbYZQ" TargetMode="External"/><Relationship Id="rId21" Type="http://schemas.openxmlformats.org/officeDocument/2006/relationships/hyperlink" Target="https://www.youtube.com/watch?v=dsK-lpwbYZQ" TargetMode="External"/><Relationship Id="rId24" Type="http://schemas.openxmlformats.org/officeDocument/2006/relationships/hyperlink" Target="https://www.youtube.com/watch?v=VUjNsI52sB4" TargetMode="External"/><Relationship Id="rId23" Type="http://schemas.openxmlformats.org/officeDocument/2006/relationships/hyperlink" Target="https://youtu.be/LXaShdaakNU?si=L7FSky2T667r9G3F" TargetMode="External"/><Relationship Id="rId26" Type="http://schemas.openxmlformats.org/officeDocument/2006/relationships/hyperlink" Target="https://www.youtube.com/watch?v=VUjNsI52sB4" TargetMode="External"/><Relationship Id="rId121" Type="http://schemas.openxmlformats.org/officeDocument/2006/relationships/hyperlink" Target="https://www.youtube.com/watch?v=WBCU-Y9tegw" TargetMode="External"/><Relationship Id="rId25" Type="http://schemas.openxmlformats.org/officeDocument/2006/relationships/hyperlink" Target="https://youtu.be/9BxxBhS1E74?si=HuRPb34EENWn4Pcu" TargetMode="External"/><Relationship Id="rId120" Type="http://schemas.openxmlformats.org/officeDocument/2006/relationships/hyperlink" Target="https://www.youtube.com/watch?v=rxl5kEiV6Xs" TargetMode="External"/><Relationship Id="rId28" Type="http://schemas.openxmlformats.org/officeDocument/2006/relationships/hyperlink" Target="https://www.youtube.com/watch?v=5S4u1Fw7tqc" TargetMode="External"/><Relationship Id="rId27" Type="http://schemas.openxmlformats.org/officeDocument/2006/relationships/hyperlink" Target="https://www.youtube.com/watch?v=2qjaZgDIh78" TargetMode="External"/><Relationship Id="rId125" Type="http://schemas.openxmlformats.org/officeDocument/2006/relationships/vmlDrawing" Target="../drawings/vmlDrawing1.vml"/><Relationship Id="rId29" Type="http://schemas.openxmlformats.org/officeDocument/2006/relationships/hyperlink" Target="https://www.youtube.com/watch?v=2qjaZgDIh78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www.youtube.com/watch?v=WBCU-Y9tegw" TargetMode="External"/><Relationship Id="rId122" Type="http://schemas.openxmlformats.org/officeDocument/2006/relationships/hyperlink" Target="https://www.youtube.com/watch?v=rxl5kEiV6Xs" TargetMode="External"/><Relationship Id="rId95" Type="http://schemas.openxmlformats.org/officeDocument/2006/relationships/hyperlink" Target="https://www.youtube.com/watch?v=_N21d2dw5iU" TargetMode="External"/><Relationship Id="rId94" Type="http://schemas.openxmlformats.org/officeDocument/2006/relationships/hyperlink" Target="https://www.youtube.com/watch?v=EsxAUhJnU8M" TargetMode="External"/><Relationship Id="rId97" Type="http://schemas.openxmlformats.org/officeDocument/2006/relationships/hyperlink" Target="https://www.youtube.com/watch?v=_N21d2dw5iU" TargetMode="External"/><Relationship Id="rId96" Type="http://schemas.openxmlformats.org/officeDocument/2006/relationships/hyperlink" Target="https://www.youtube.com/watch?v=EsxAUhJnU8M" TargetMode="External"/><Relationship Id="rId11" Type="http://schemas.openxmlformats.org/officeDocument/2006/relationships/hyperlink" Target="https://youtu.be/rGgyxS9AHLc?si=MCYHRit8cb6hYFTt" TargetMode="External"/><Relationship Id="rId99" Type="http://schemas.openxmlformats.org/officeDocument/2006/relationships/hyperlink" Target="https://www.youtube.com/watch?v=i-vpQJW_XPY" TargetMode="External"/><Relationship Id="rId10" Type="http://schemas.openxmlformats.org/officeDocument/2006/relationships/hyperlink" Target="https://www.youtube.com/watch?v=JzgVOFb7sq0" TargetMode="External"/><Relationship Id="rId98" Type="http://schemas.openxmlformats.org/officeDocument/2006/relationships/hyperlink" Target="https://www.youtube.com/watch?v=c49YWbcpMwI" TargetMode="External"/><Relationship Id="rId13" Type="http://schemas.openxmlformats.org/officeDocument/2006/relationships/hyperlink" Target="https://www.youtube.com/watch?v=OQ4Zg2LG4yI" TargetMode="External"/><Relationship Id="rId12" Type="http://schemas.openxmlformats.org/officeDocument/2006/relationships/hyperlink" Target="https://www.youtube.com/watch?v=JzgVOFb7sq0" TargetMode="External"/><Relationship Id="rId91" Type="http://schemas.openxmlformats.org/officeDocument/2006/relationships/hyperlink" Target="https://www.youtube.com/watch?v=_hjLP4HKgn0" TargetMode="External"/><Relationship Id="rId90" Type="http://schemas.openxmlformats.org/officeDocument/2006/relationships/hyperlink" Target="https://www.youtube.com/watch?v=T7Vk4sjuj5Q" TargetMode="External"/><Relationship Id="rId93" Type="http://schemas.openxmlformats.org/officeDocument/2006/relationships/hyperlink" Target="https://www.youtube.com/watch?v=_hjLP4HKgn0" TargetMode="External"/><Relationship Id="rId92" Type="http://schemas.openxmlformats.org/officeDocument/2006/relationships/hyperlink" Target="https://www.youtube.com/watch?v=T7Vk4sjuj5Q" TargetMode="External"/><Relationship Id="rId118" Type="http://schemas.openxmlformats.org/officeDocument/2006/relationships/hyperlink" Target="https://www.youtube.com/watch?v=ToDtJppyKYM" TargetMode="External"/><Relationship Id="rId117" Type="http://schemas.openxmlformats.org/officeDocument/2006/relationships/hyperlink" Target="https://www.youtube.com/watch?v=PhgqlHkYQbc" TargetMode="External"/><Relationship Id="rId116" Type="http://schemas.openxmlformats.org/officeDocument/2006/relationships/hyperlink" Target="https://youtu.be/p9KfCqLDgco?si=qIROkTdNBHsA6DHP" TargetMode="External"/><Relationship Id="rId115" Type="http://schemas.openxmlformats.org/officeDocument/2006/relationships/hyperlink" Target="https://www.youtube.com/watch?v=t107mzWJVTs" TargetMode="External"/><Relationship Id="rId119" Type="http://schemas.openxmlformats.org/officeDocument/2006/relationships/hyperlink" Target="https://www.youtube.com/watch?v=PhgqlHkYQbc" TargetMode="External"/><Relationship Id="rId15" Type="http://schemas.openxmlformats.org/officeDocument/2006/relationships/hyperlink" Target="https://youtu.be/gi__poZCC1A?si=mTVGF8rrHrr-uvBS" TargetMode="External"/><Relationship Id="rId110" Type="http://schemas.openxmlformats.org/officeDocument/2006/relationships/hyperlink" Target="https://youtu.be/bl-7t1unHcQ?si=-ExEyvt6WsLK0bsU" TargetMode="External"/><Relationship Id="rId14" Type="http://schemas.openxmlformats.org/officeDocument/2006/relationships/hyperlink" Target="https://www.youtube.com/watch?v=OQ4Zg2LG4yI" TargetMode="External"/><Relationship Id="rId17" Type="http://schemas.openxmlformats.org/officeDocument/2006/relationships/hyperlink" Target="https://youtu.be/fkde-q_VEkM?si=TImxTDk0Es9MnqEW" TargetMode="External"/><Relationship Id="rId16" Type="http://schemas.openxmlformats.org/officeDocument/2006/relationships/hyperlink" Target="https://www.youtube.com/watch?v=emjZac5MMSY" TargetMode="External"/><Relationship Id="rId19" Type="http://schemas.openxmlformats.org/officeDocument/2006/relationships/hyperlink" Target="https://www.youtube.com/watch?v=JgYswxF7OmA" TargetMode="External"/><Relationship Id="rId114" Type="http://schemas.openxmlformats.org/officeDocument/2006/relationships/hyperlink" Target="https://www.youtube.com/watch?v=t107mzWJVTs" TargetMode="External"/><Relationship Id="rId18" Type="http://schemas.openxmlformats.org/officeDocument/2006/relationships/hyperlink" Target="https://www.youtube.com/watch?v=emjZac5MMSY" TargetMode="External"/><Relationship Id="rId113" Type="http://schemas.openxmlformats.org/officeDocument/2006/relationships/hyperlink" Target="https://www.youtube.com/watch?v=VBZQ6XPZPRY" TargetMode="External"/><Relationship Id="rId112" Type="http://schemas.openxmlformats.org/officeDocument/2006/relationships/hyperlink" Target="https://youtu.be/QOHgcL02m2c?si=CtWapkRf-O6jcn-I" TargetMode="External"/><Relationship Id="rId111" Type="http://schemas.openxmlformats.org/officeDocument/2006/relationships/hyperlink" Target="https://www.youtube.com/watch?v=VBZQ6XPZPRY" TargetMode="External"/><Relationship Id="rId84" Type="http://schemas.openxmlformats.org/officeDocument/2006/relationships/hyperlink" Target="https://www.youtube.com/watch?v=eQpSTeSeqEM" TargetMode="External"/><Relationship Id="rId83" Type="http://schemas.openxmlformats.org/officeDocument/2006/relationships/hyperlink" Target="https://www.youtube.com/watch?v=EI7Qrg7tdqo" TargetMode="External"/><Relationship Id="rId86" Type="http://schemas.openxmlformats.org/officeDocument/2006/relationships/hyperlink" Target="https://www.youtube.com/watch?v=EI7Qrg7tdqo" TargetMode="External"/><Relationship Id="rId85" Type="http://schemas.openxmlformats.org/officeDocument/2006/relationships/hyperlink" Target="https://www.youtube.com/watch?v=eQpSTeSeqEM" TargetMode="External"/><Relationship Id="rId88" Type="http://schemas.openxmlformats.org/officeDocument/2006/relationships/hyperlink" Target="https://youtu.be/3ifunPo1kew?si=YEUGeEERuvM4hqJ-" TargetMode="External"/><Relationship Id="rId87" Type="http://schemas.openxmlformats.org/officeDocument/2006/relationships/hyperlink" Target="https://www.youtube.com/watch?v=w_kYKv3NzgE" TargetMode="External"/><Relationship Id="rId89" Type="http://schemas.openxmlformats.org/officeDocument/2006/relationships/hyperlink" Target="https://www.youtube.com/watch?v=w_kYKv3NzgE" TargetMode="External"/><Relationship Id="rId80" Type="http://schemas.openxmlformats.org/officeDocument/2006/relationships/hyperlink" Target="https://www.youtube.com/watch?v=z95jx4acta4" TargetMode="External"/><Relationship Id="rId82" Type="http://schemas.openxmlformats.org/officeDocument/2006/relationships/hyperlink" Target="https://youtu.be/_DWFIdXu0jo?si=Jog5fn9NDc7CPf3o" TargetMode="External"/><Relationship Id="rId81" Type="http://schemas.openxmlformats.org/officeDocument/2006/relationships/hyperlink" Target="https://www.youtube.com/watch?v=i-KO53tXtU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oBFLXm6FtFg?si=ugVr3On3ARECkTtC" TargetMode="External"/><Relationship Id="rId3" Type="http://schemas.openxmlformats.org/officeDocument/2006/relationships/hyperlink" Target="https://youtu.be/ZhH-jhhsrFQ?si=Krhc1DLCjgc94CT5" TargetMode="External"/><Relationship Id="rId4" Type="http://schemas.openxmlformats.org/officeDocument/2006/relationships/hyperlink" Target="https://youtu.be/YDHd-idNaNo?si=AyH7C86mhYZxDMJv" TargetMode="External"/><Relationship Id="rId9" Type="http://schemas.openxmlformats.org/officeDocument/2006/relationships/hyperlink" Target="https://youtu.be/82ISPc_XYqM?si=rJdZNKNZ77ja6hiE" TargetMode="External"/><Relationship Id="rId5" Type="http://schemas.openxmlformats.org/officeDocument/2006/relationships/hyperlink" Target="https://youtu.be/GGrwdAcNQUg?si=Uil9u9aLnOaUyzU4" TargetMode="External"/><Relationship Id="rId6" Type="http://schemas.openxmlformats.org/officeDocument/2006/relationships/hyperlink" Target="https://www.youtube.com/watch?v=GYqJNLDPmYA" TargetMode="External"/><Relationship Id="rId7" Type="http://schemas.openxmlformats.org/officeDocument/2006/relationships/hyperlink" Target="https://www.youtube.com/watch?v=sq_a2aAOG9w" TargetMode="External"/><Relationship Id="rId8" Type="http://schemas.openxmlformats.org/officeDocument/2006/relationships/hyperlink" Target="https://www.youtube.com/watch?v=sq_a2aAOG9w" TargetMode="External"/><Relationship Id="rId73" Type="http://schemas.openxmlformats.org/officeDocument/2006/relationships/hyperlink" Target="https://www.youtube.com/watch?v=XC7PWJqCVZk" TargetMode="External"/><Relationship Id="rId72" Type="http://schemas.openxmlformats.org/officeDocument/2006/relationships/hyperlink" Target="https://youtu.be/TUgSiO_Y-zo?si=xLPAhQNKd6leeaKu" TargetMode="External"/><Relationship Id="rId75" Type="http://schemas.openxmlformats.org/officeDocument/2006/relationships/hyperlink" Target="https://www.youtube.com/watch?v=qskjcBb1Au0" TargetMode="External"/><Relationship Id="rId74" Type="http://schemas.openxmlformats.org/officeDocument/2006/relationships/hyperlink" Target="https://www.youtube.com/watch?v=lfIFYugqkrI" TargetMode="External"/><Relationship Id="rId77" Type="http://schemas.openxmlformats.org/officeDocument/2006/relationships/hyperlink" Target="https://www.youtube.com/watch?v=MUPKfTIy3iU" TargetMode="External"/><Relationship Id="rId76" Type="http://schemas.openxmlformats.org/officeDocument/2006/relationships/hyperlink" Target="https://www.youtube.com/watch?v=MUPKfTIy3iU" TargetMode="External"/><Relationship Id="rId79" Type="http://schemas.openxmlformats.org/officeDocument/2006/relationships/hyperlink" Target="https://www.youtube.com/watch?v=i-KO53tXtUg" TargetMode="External"/><Relationship Id="rId78" Type="http://schemas.openxmlformats.org/officeDocument/2006/relationships/hyperlink" Target="https://www.youtube.com/watch?v=qskjcBb1Au0" TargetMode="External"/><Relationship Id="rId71" Type="http://schemas.openxmlformats.org/officeDocument/2006/relationships/hyperlink" Target="https://youtu.be/RVz03pEB9as?si=gEPAe4wAF1X0JbRv" TargetMode="External"/><Relationship Id="rId70" Type="http://schemas.openxmlformats.org/officeDocument/2006/relationships/hyperlink" Target="https://youtu.be/TLd9hloYO7M?si=Kjvf6ooEnpAj-DYc" TargetMode="External"/><Relationship Id="rId62" Type="http://schemas.openxmlformats.org/officeDocument/2006/relationships/hyperlink" Target="https://www.youtube.com/watch?v=tR0SKNLX6Cs" TargetMode="External"/><Relationship Id="rId61" Type="http://schemas.openxmlformats.org/officeDocument/2006/relationships/hyperlink" Target="https://www.youtube.com/watch?v=DwLpm3UWJBI" TargetMode="External"/><Relationship Id="rId64" Type="http://schemas.openxmlformats.org/officeDocument/2006/relationships/hyperlink" Target="https://www.youtube.com/watch?v=7DHgZletlfo" TargetMode="External"/><Relationship Id="rId63" Type="http://schemas.openxmlformats.org/officeDocument/2006/relationships/hyperlink" Target="https://www.youtube.com/watch?v=7DHgZletlfo" TargetMode="External"/><Relationship Id="rId66" Type="http://schemas.openxmlformats.org/officeDocument/2006/relationships/hyperlink" Target="https://www.youtube.com/watch?v=jTr0YZ22GkE" TargetMode="External"/><Relationship Id="rId65" Type="http://schemas.openxmlformats.org/officeDocument/2006/relationships/hyperlink" Target="https://www.youtube.com/watch?v=tR0SKNLX6Cs" TargetMode="External"/><Relationship Id="rId68" Type="http://schemas.openxmlformats.org/officeDocument/2006/relationships/hyperlink" Target="https://www.youtube.com/watch?v=jTr0YZ22GkE" TargetMode="External"/><Relationship Id="rId67" Type="http://schemas.openxmlformats.org/officeDocument/2006/relationships/hyperlink" Target="https://youtu.be/nFvmtZuTxdc?si=3pYoIvkcd1Cyia5n" TargetMode="External"/><Relationship Id="rId60" Type="http://schemas.openxmlformats.org/officeDocument/2006/relationships/hyperlink" Target="https://www.youtube.com/watch?v=LertvEbmSOA" TargetMode="External"/><Relationship Id="rId69" Type="http://schemas.openxmlformats.org/officeDocument/2006/relationships/hyperlink" Target="https://www.youtube.com/watch?v=xq0j_Q3JAuU" TargetMode="External"/><Relationship Id="rId51" Type="http://schemas.openxmlformats.org/officeDocument/2006/relationships/hyperlink" Target="https://www.youtube.com/watch?v=RiAO3UyJz-4" TargetMode="External"/><Relationship Id="rId50" Type="http://schemas.openxmlformats.org/officeDocument/2006/relationships/hyperlink" Target="https://www.youtube.com/watch?v=E4llkLzDQPM" TargetMode="External"/><Relationship Id="rId53" Type="http://schemas.openxmlformats.org/officeDocument/2006/relationships/hyperlink" Target="https://www.youtube.com/watch?v=RiAO3UyJz-4" TargetMode="External"/><Relationship Id="rId52" Type="http://schemas.openxmlformats.org/officeDocument/2006/relationships/hyperlink" Target="https://www.youtube.com/watch?v=PhJK7G84GQY" TargetMode="External"/><Relationship Id="rId55" Type="http://schemas.openxmlformats.org/officeDocument/2006/relationships/hyperlink" Target="https://www.youtube.com/watch?v=5w7dsxykU98" TargetMode="External"/><Relationship Id="rId54" Type="http://schemas.openxmlformats.org/officeDocument/2006/relationships/hyperlink" Target="https://www.youtube.com/watch?v=PhJK7G84GQY" TargetMode="External"/><Relationship Id="rId57" Type="http://schemas.openxmlformats.org/officeDocument/2006/relationships/hyperlink" Target="https://www.youtube.com/watch?v=77phd1oswyU" TargetMode="External"/><Relationship Id="rId56" Type="http://schemas.openxmlformats.org/officeDocument/2006/relationships/hyperlink" Target="https://youtu.be/LJYmVywzWPs?si=RTPdmDzFscim982n" TargetMode="External"/><Relationship Id="rId59" Type="http://schemas.openxmlformats.org/officeDocument/2006/relationships/hyperlink" Target="https://www.youtube.com/watch?v=DwLpm3UWJBI" TargetMode="External"/><Relationship Id="rId58" Type="http://schemas.openxmlformats.org/officeDocument/2006/relationships/hyperlink" Target="https://www.youtube.com/watch?v=LertvEbmS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86"/>
    <col customWidth="1" min="3" max="3" width="9.71"/>
    <col customWidth="1" min="4" max="4" width="25.0"/>
    <col customWidth="1" min="5" max="5" width="5.71"/>
    <col customWidth="1" min="6" max="6" width="13.57"/>
    <col customWidth="1" min="7" max="7" width="12.86"/>
    <col customWidth="1" min="8" max="8" width="12.29"/>
    <col customWidth="1" min="9" max="9" width="10.43"/>
    <col customWidth="1" min="10" max="10" width="5.43"/>
    <col customWidth="1" min="11" max="11" width="7.43"/>
    <col customWidth="1" min="12" max="12" width="9.29"/>
    <col customWidth="1" min="13" max="13" width="46.43"/>
    <col customWidth="1" min="14" max="14" width="49.0"/>
    <col customWidth="1" min="15" max="15" width="17.86"/>
    <col customWidth="1" min="16" max="16" width="25.71"/>
    <col customWidth="1" min="17" max="17" width="35.86"/>
    <col customWidth="1" min="18" max="18" width="36.57"/>
    <col customWidth="1" min="19" max="19" width="24.0"/>
    <col customWidth="1" min="20" max="20" width="31.0"/>
    <col customWidth="1" min="21" max="21" width="41.29"/>
    <col customWidth="1" min="22" max="22" width="31.71"/>
    <col customWidth="1" min="23" max="23" width="27.43"/>
    <col customWidth="1" min="24" max="25" width="28.14"/>
    <col customWidth="1" min="26" max="26" width="32.0"/>
    <col customWidth="1" min="27" max="27" width="28.86"/>
    <col customWidth="1" min="28" max="28" width="32.71"/>
    <col customWidth="1" min="29" max="29" width="16.0"/>
    <col customWidth="1" min="30" max="30" width="23.86"/>
    <col customWidth="1" min="31" max="31" width="34.0"/>
    <col customWidth="1" min="32" max="32" width="34.71"/>
    <col customWidth="1" min="33" max="33" width="22.14"/>
    <col customWidth="1" min="34" max="34" width="30.0"/>
    <col customWidth="1" min="35" max="35" width="29.86"/>
    <col customWidth="1" min="36" max="36" width="25.57"/>
    <col customWidth="1" min="37" max="37" width="26.29"/>
    <col customWidth="1" min="38" max="38" width="30.0"/>
    <col customWidth="1" min="39" max="39" width="30.14"/>
    <col customWidth="1" min="40" max="40" width="27.0"/>
    <col customWidth="1" min="41" max="41" width="30.86"/>
    <col customWidth="1" min="42" max="42" width="48.71"/>
    <col customWidth="1" min="43" max="43" width="35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5" t="s">
        <v>41</v>
      </c>
      <c r="AQ1" s="5"/>
    </row>
    <row r="2">
      <c r="A2" s="6" t="s">
        <v>42</v>
      </c>
      <c r="B2" s="7" t="s">
        <v>43</v>
      </c>
      <c r="C2" s="7">
        <v>30.0</v>
      </c>
      <c r="D2" s="7" t="s">
        <v>44</v>
      </c>
      <c r="E2" s="7" t="s">
        <v>45</v>
      </c>
      <c r="F2" s="8" t="s">
        <v>46</v>
      </c>
      <c r="G2" s="8" t="s">
        <v>47</v>
      </c>
      <c r="H2" s="8">
        <v>2.0</v>
      </c>
      <c r="I2" s="8">
        <v>1.0</v>
      </c>
      <c r="J2" s="7" t="s">
        <v>48</v>
      </c>
      <c r="K2" s="7" t="s">
        <v>48</v>
      </c>
      <c r="L2" s="7" t="s">
        <v>49</v>
      </c>
      <c r="M2" s="9" t="s">
        <v>50</v>
      </c>
      <c r="N2" s="9" t="s">
        <v>51</v>
      </c>
      <c r="O2" s="10">
        <v>143.0</v>
      </c>
      <c r="P2" s="10">
        <v>6.0</v>
      </c>
      <c r="Q2" s="10">
        <v>0.0</v>
      </c>
      <c r="R2" s="10">
        <v>3.0</v>
      </c>
      <c r="S2" s="11">
        <f t="shared" ref="S2:S3" si="1">(O2 - U2) / P2</f>
        <v>23.83333333</v>
      </c>
      <c r="T2" s="12" t="s">
        <v>52</v>
      </c>
      <c r="U2" s="12" t="s">
        <v>53</v>
      </c>
      <c r="V2" s="12" t="s">
        <v>54</v>
      </c>
      <c r="W2" s="12" t="s">
        <v>55</v>
      </c>
      <c r="X2" s="12" t="s">
        <v>56</v>
      </c>
      <c r="Y2" s="10">
        <v>2.0</v>
      </c>
      <c r="Z2" s="10">
        <v>1.0</v>
      </c>
      <c r="AA2" s="10">
        <v>0.0</v>
      </c>
      <c r="AB2" s="13">
        <v>0.0</v>
      </c>
      <c r="AC2" s="14">
        <v>120.0</v>
      </c>
      <c r="AD2" s="10">
        <v>6.0</v>
      </c>
      <c r="AE2" s="10">
        <v>3.0</v>
      </c>
      <c r="AF2" s="10">
        <v>0.0</v>
      </c>
      <c r="AG2" s="11">
        <f t="shared" ref="AG2:AG3" si="2">AC2/AD2</f>
        <v>20</v>
      </c>
      <c r="AH2" s="10">
        <v>3.0</v>
      </c>
      <c r="AI2" s="10">
        <v>3.0</v>
      </c>
      <c r="AJ2" s="10">
        <v>6.0</v>
      </c>
      <c r="AK2" s="10">
        <v>2.0</v>
      </c>
      <c r="AL2" s="10">
        <v>1.0</v>
      </c>
      <c r="AM2" s="10">
        <v>0.0</v>
      </c>
      <c r="AN2" s="10">
        <v>0.0</v>
      </c>
      <c r="AO2" s="10">
        <v>0.0</v>
      </c>
      <c r="AP2" s="10"/>
      <c r="AQ2" s="10" t="s">
        <v>57</v>
      </c>
    </row>
    <row r="3">
      <c r="A3" s="6" t="s">
        <v>58</v>
      </c>
      <c r="B3" s="7" t="s">
        <v>59</v>
      </c>
      <c r="C3" s="7">
        <v>30.0</v>
      </c>
      <c r="D3" s="7" t="s">
        <v>60</v>
      </c>
      <c r="E3" s="7" t="s">
        <v>61</v>
      </c>
      <c r="F3" s="8" t="s">
        <v>62</v>
      </c>
      <c r="G3" s="8" t="s">
        <v>63</v>
      </c>
      <c r="H3" s="8">
        <v>1.0</v>
      </c>
      <c r="I3" s="8">
        <v>0.0</v>
      </c>
      <c r="J3" s="7" t="s">
        <v>48</v>
      </c>
      <c r="K3" s="7" t="s">
        <v>48</v>
      </c>
      <c r="L3" s="7" t="s">
        <v>64</v>
      </c>
      <c r="M3" s="9" t="s">
        <v>65</v>
      </c>
      <c r="N3" s="9" t="s">
        <v>66</v>
      </c>
      <c r="O3" s="10">
        <v>119.0</v>
      </c>
      <c r="P3" s="10">
        <v>6.0</v>
      </c>
      <c r="Q3" s="10">
        <v>2.0</v>
      </c>
      <c r="R3" s="10">
        <v>3.0</v>
      </c>
      <c r="S3" s="11">
        <f t="shared" si="1"/>
        <v>17.33333333</v>
      </c>
      <c r="T3" s="12" t="s">
        <v>67</v>
      </c>
      <c r="U3" s="12" t="s">
        <v>68</v>
      </c>
      <c r="V3" s="12" t="s">
        <v>69</v>
      </c>
      <c r="W3" s="12" t="s">
        <v>67</v>
      </c>
      <c r="X3" s="12" t="s">
        <v>56</v>
      </c>
      <c r="Y3" s="10">
        <v>2.0</v>
      </c>
      <c r="Z3" s="10">
        <v>5.0</v>
      </c>
      <c r="AA3" s="10" t="s">
        <v>69</v>
      </c>
      <c r="AB3" s="13">
        <v>0.0</v>
      </c>
      <c r="AC3" s="14">
        <v>141.0</v>
      </c>
      <c r="AD3" s="10">
        <v>8.0</v>
      </c>
      <c r="AE3" s="10">
        <v>5.0</v>
      </c>
      <c r="AF3" s="10">
        <v>2.0</v>
      </c>
      <c r="AG3" s="11">
        <f t="shared" si="2"/>
        <v>17.625</v>
      </c>
      <c r="AH3" s="10" t="s">
        <v>69</v>
      </c>
      <c r="AI3" s="10">
        <v>1.0</v>
      </c>
      <c r="AJ3" s="10">
        <v>6.0</v>
      </c>
      <c r="AK3" s="10">
        <v>2.0</v>
      </c>
      <c r="AL3" s="10" t="s">
        <v>69</v>
      </c>
      <c r="AM3" s="10">
        <v>6.0</v>
      </c>
      <c r="AN3" s="10">
        <v>2.0</v>
      </c>
      <c r="AO3" s="10">
        <v>0.0</v>
      </c>
      <c r="AP3" s="10" t="s">
        <v>70</v>
      </c>
      <c r="AQ3" s="10" t="s">
        <v>71</v>
      </c>
    </row>
    <row r="4">
      <c r="A4" s="6" t="s">
        <v>72</v>
      </c>
      <c r="B4" s="15" t="s">
        <v>73</v>
      </c>
      <c r="C4" s="15">
        <v>30.0</v>
      </c>
      <c r="D4" s="15" t="s">
        <v>74</v>
      </c>
      <c r="E4" s="15" t="s">
        <v>75</v>
      </c>
      <c r="F4" s="15"/>
      <c r="G4" s="15"/>
      <c r="H4" s="15"/>
      <c r="I4" s="15"/>
      <c r="J4" s="16" t="s">
        <v>76</v>
      </c>
      <c r="K4" s="15" t="s">
        <v>48</v>
      </c>
      <c r="L4" s="15" t="s">
        <v>77</v>
      </c>
      <c r="M4" s="17"/>
      <c r="N4" s="17"/>
      <c r="O4" s="18"/>
      <c r="P4" s="17"/>
      <c r="Q4" s="17"/>
      <c r="R4" s="17"/>
      <c r="S4" s="19"/>
      <c r="T4" s="19"/>
      <c r="U4" s="19"/>
      <c r="V4" s="19"/>
      <c r="W4" s="19"/>
      <c r="X4" s="19"/>
      <c r="Y4" s="17"/>
      <c r="Z4" s="17"/>
      <c r="AA4" s="17"/>
      <c r="AB4" s="20"/>
      <c r="AC4" s="21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22"/>
      <c r="AO4" s="17"/>
      <c r="AQ4" s="10" t="s">
        <v>78</v>
      </c>
    </row>
    <row r="5">
      <c r="A5" s="6" t="s">
        <v>79</v>
      </c>
      <c r="B5" s="7" t="s">
        <v>73</v>
      </c>
      <c r="C5" s="7">
        <v>30.0</v>
      </c>
      <c r="D5" s="7" t="s">
        <v>80</v>
      </c>
      <c r="E5" s="7" t="s">
        <v>61</v>
      </c>
      <c r="F5" s="8" t="s">
        <v>63</v>
      </c>
      <c r="G5" s="8" t="s">
        <v>81</v>
      </c>
      <c r="H5" s="8">
        <v>1.0</v>
      </c>
      <c r="I5" s="8">
        <v>0.0</v>
      </c>
      <c r="J5" s="7" t="s">
        <v>48</v>
      </c>
      <c r="K5" s="9" t="s">
        <v>82</v>
      </c>
      <c r="L5" s="7" t="s">
        <v>64</v>
      </c>
      <c r="M5" s="9" t="s">
        <v>82</v>
      </c>
      <c r="N5" s="9" t="s">
        <v>83</v>
      </c>
      <c r="O5" s="10">
        <v>147.0</v>
      </c>
      <c r="P5" s="10">
        <v>9.0</v>
      </c>
      <c r="Q5" s="10">
        <v>4.0</v>
      </c>
      <c r="R5" s="10">
        <v>4.0</v>
      </c>
      <c r="S5" s="11">
        <f t="shared" ref="S5:S7" si="3">(O5 - U5) / P5</f>
        <v>16.33333333</v>
      </c>
      <c r="T5" s="12" t="s">
        <v>53</v>
      </c>
      <c r="U5" s="12" t="s">
        <v>53</v>
      </c>
      <c r="V5" s="12" t="s">
        <v>69</v>
      </c>
      <c r="W5" s="12" t="s">
        <v>84</v>
      </c>
      <c r="X5" s="12" t="s">
        <v>53</v>
      </c>
      <c r="Y5" s="10">
        <v>2.0</v>
      </c>
      <c r="Z5" s="10">
        <v>8.0</v>
      </c>
      <c r="AA5" s="10" t="s">
        <v>69</v>
      </c>
      <c r="AB5" s="13">
        <v>0.0</v>
      </c>
      <c r="AC5" s="14">
        <v>150.0</v>
      </c>
      <c r="AD5" s="10">
        <v>6.0</v>
      </c>
      <c r="AE5" s="10">
        <v>4.0</v>
      </c>
      <c r="AF5" s="10">
        <v>1.0</v>
      </c>
      <c r="AG5" s="11">
        <f t="shared" ref="AG5:AG7" si="4">AC5/AD5</f>
        <v>25</v>
      </c>
      <c r="AH5" s="10" t="s">
        <v>85</v>
      </c>
      <c r="AI5" s="10">
        <v>0.0</v>
      </c>
      <c r="AJ5" s="10">
        <v>3.0</v>
      </c>
      <c r="AK5" s="10">
        <v>0.0</v>
      </c>
      <c r="AL5" s="10" t="s">
        <v>86</v>
      </c>
      <c r="AM5" s="10">
        <v>8.0</v>
      </c>
      <c r="AN5" s="10">
        <v>1.0</v>
      </c>
      <c r="AO5" s="10">
        <v>0.0</v>
      </c>
      <c r="AP5" s="10" t="s">
        <v>87</v>
      </c>
    </row>
    <row r="6">
      <c r="A6" s="6" t="s">
        <v>88</v>
      </c>
      <c r="B6" s="7" t="s">
        <v>73</v>
      </c>
      <c r="C6" s="7">
        <v>31.0</v>
      </c>
      <c r="D6" s="7" t="s">
        <v>89</v>
      </c>
      <c r="E6" s="7" t="s">
        <v>90</v>
      </c>
      <c r="F6" s="8" t="s">
        <v>62</v>
      </c>
      <c r="G6" s="8" t="s">
        <v>91</v>
      </c>
      <c r="H6" s="8">
        <v>2.0</v>
      </c>
      <c r="I6" s="8">
        <v>0.0</v>
      </c>
      <c r="J6" s="7" t="s">
        <v>48</v>
      </c>
      <c r="K6" s="9" t="s">
        <v>92</v>
      </c>
      <c r="L6" s="7" t="s">
        <v>49</v>
      </c>
      <c r="M6" s="9" t="s">
        <v>93</v>
      </c>
      <c r="N6" s="9" t="s">
        <v>92</v>
      </c>
      <c r="O6" s="10">
        <v>120.0</v>
      </c>
      <c r="P6" s="10">
        <v>6.0</v>
      </c>
      <c r="Q6" s="10">
        <v>3.0</v>
      </c>
      <c r="R6" s="10">
        <v>1.0</v>
      </c>
      <c r="S6" s="11">
        <f t="shared" si="3"/>
        <v>20</v>
      </c>
      <c r="T6" s="12" t="s">
        <v>94</v>
      </c>
      <c r="U6" s="12" t="s">
        <v>53</v>
      </c>
      <c r="V6" s="12" t="s">
        <v>69</v>
      </c>
      <c r="W6" s="12" t="s">
        <v>67</v>
      </c>
      <c r="X6" s="12" t="s">
        <v>84</v>
      </c>
      <c r="Y6" s="10">
        <v>3.0</v>
      </c>
      <c r="Z6" s="10">
        <v>3.0</v>
      </c>
      <c r="AA6" s="10" t="s">
        <v>69</v>
      </c>
      <c r="AB6" s="13">
        <v>1.0</v>
      </c>
      <c r="AC6" s="14">
        <v>171.0</v>
      </c>
      <c r="AD6" s="10">
        <v>10.0</v>
      </c>
      <c r="AE6" s="10">
        <v>5.0</v>
      </c>
      <c r="AF6" s="10">
        <v>3.0</v>
      </c>
      <c r="AG6" s="11">
        <f t="shared" si="4"/>
        <v>17.1</v>
      </c>
      <c r="AH6" s="10" t="s">
        <v>69</v>
      </c>
      <c r="AI6" s="10">
        <v>0.0</v>
      </c>
      <c r="AJ6" s="10">
        <v>8.0</v>
      </c>
      <c r="AK6" s="10">
        <v>0.0</v>
      </c>
      <c r="AL6" s="10" t="s">
        <v>69</v>
      </c>
      <c r="AM6" s="10">
        <v>6.0</v>
      </c>
      <c r="AN6" s="10">
        <v>0.0</v>
      </c>
      <c r="AO6" s="10">
        <v>0.0</v>
      </c>
    </row>
    <row r="7">
      <c r="A7" s="6" t="s">
        <v>95</v>
      </c>
      <c r="B7" s="7" t="s">
        <v>73</v>
      </c>
      <c r="C7" s="7">
        <v>30.0</v>
      </c>
      <c r="D7" s="7" t="s">
        <v>96</v>
      </c>
      <c r="E7" s="7" t="s">
        <v>61</v>
      </c>
      <c r="F7" s="8" t="s">
        <v>97</v>
      </c>
      <c r="G7" s="8" t="s">
        <v>98</v>
      </c>
      <c r="H7" s="8">
        <v>1.0</v>
      </c>
      <c r="I7" s="8">
        <v>0.0</v>
      </c>
      <c r="J7" s="7" t="s">
        <v>48</v>
      </c>
      <c r="K7" s="9" t="s">
        <v>99</v>
      </c>
      <c r="L7" s="7" t="s">
        <v>64</v>
      </c>
      <c r="M7" s="9" t="s">
        <v>99</v>
      </c>
      <c r="N7" s="9" t="s">
        <v>100</v>
      </c>
      <c r="O7" s="10">
        <v>132.0</v>
      </c>
      <c r="P7" s="10">
        <v>5.0</v>
      </c>
      <c r="Q7" s="10">
        <v>2.0</v>
      </c>
      <c r="R7" s="10">
        <v>2.0</v>
      </c>
      <c r="S7" s="11">
        <f t="shared" si="3"/>
        <v>26.4</v>
      </c>
      <c r="T7" s="12" t="s">
        <v>68</v>
      </c>
      <c r="U7" s="12" t="s">
        <v>53</v>
      </c>
      <c r="V7" s="12" t="s">
        <v>69</v>
      </c>
      <c r="W7" s="12" t="s">
        <v>67</v>
      </c>
      <c r="X7" s="12" t="s">
        <v>55</v>
      </c>
      <c r="Y7" s="10">
        <v>2.0</v>
      </c>
      <c r="Z7" s="10">
        <v>0.0</v>
      </c>
      <c r="AA7" s="10" t="s">
        <v>69</v>
      </c>
      <c r="AB7" s="13">
        <v>0.0</v>
      </c>
      <c r="AC7" s="14">
        <v>117.0</v>
      </c>
      <c r="AD7" s="10">
        <v>7.0</v>
      </c>
      <c r="AE7" s="10">
        <v>6.0</v>
      </c>
      <c r="AF7" s="10">
        <v>0.0</v>
      </c>
      <c r="AG7" s="11">
        <f t="shared" si="4"/>
        <v>16.71428571</v>
      </c>
      <c r="AH7" s="10" t="s">
        <v>69</v>
      </c>
      <c r="AI7" s="10">
        <v>2.0</v>
      </c>
      <c r="AJ7" s="10">
        <v>12.0</v>
      </c>
      <c r="AK7" s="10">
        <v>0.0</v>
      </c>
      <c r="AL7" s="10" t="s">
        <v>69</v>
      </c>
      <c r="AM7" s="10">
        <v>7.0</v>
      </c>
      <c r="AN7" s="10">
        <v>1.0</v>
      </c>
      <c r="AO7" s="10">
        <v>0.0</v>
      </c>
    </row>
    <row r="8">
      <c r="A8" s="6" t="s">
        <v>101</v>
      </c>
      <c r="B8" s="15" t="s">
        <v>73</v>
      </c>
      <c r="C8" s="15">
        <v>30.0</v>
      </c>
      <c r="D8" s="15" t="s">
        <v>102</v>
      </c>
      <c r="E8" s="15" t="s">
        <v>103</v>
      </c>
      <c r="F8" s="15"/>
      <c r="G8" s="15"/>
      <c r="H8" s="15"/>
      <c r="I8" s="15"/>
      <c r="J8" s="15" t="s">
        <v>48</v>
      </c>
      <c r="K8" s="15" t="s">
        <v>48</v>
      </c>
      <c r="L8" s="15" t="s">
        <v>77</v>
      </c>
      <c r="M8" s="17"/>
      <c r="N8" s="17"/>
      <c r="O8" s="17"/>
      <c r="P8" s="17"/>
      <c r="Q8" s="17"/>
      <c r="R8" s="17"/>
      <c r="S8" s="19"/>
      <c r="T8" s="19"/>
      <c r="U8" s="19"/>
      <c r="V8" s="19"/>
      <c r="W8" s="19"/>
      <c r="X8" s="19"/>
      <c r="Y8" s="17"/>
      <c r="Z8" s="17"/>
      <c r="AA8" s="17"/>
      <c r="AB8" s="20"/>
      <c r="AC8" s="21"/>
      <c r="AD8" s="17"/>
      <c r="AE8" s="17"/>
      <c r="AF8" s="18"/>
      <c r="AG8" s="17"/>
      <c r="AH8" s="17"/>
      <c r="AI8" s="17"/>
      <c r="AJ8" s="17"/>
      <c r="AK8" s="17"/>
      <c r="AL8" s="17"/>
      <c r="AM8" s="17"/>
      <c r="AN8" s="22"/>
      <c r="AO8" s="17"/>
    </row>
    <row r="9">
      <c r="A9" s="6" t="s">
        <v>104</v>
      </c>
      <c r="B9" s="15" t="s">
        <v>105</v>
      </c>
      <c r="C9" s="15">
        <v>30.0</v>
      </c>
      <c r="D9" s="15" t="s">
        <v>106</v>
      </c>
      <c r="E9" s="15" t="s">
        <v>75</v>
      </c>
      <c r="F9" s="15"/>
      <c r="G9" s="15"/>
      <c r="H9" s="15"/>
      <c r="I9" s="15"/>
      <c r="J9" s="15" t="s">
        <v>48</v>
      </c>
      <c r="K9" s="15" t="s">
        <v>48</v>
      </c>
      <c r="L9" s="15" t="s">
        <v>77</v>
      </c>
      <c r="M9" s="17"/>
      <c r="N9" s="17"/>
      <c r="O9" s="17"/>
      <c r="P9" s="17"/>
      <c r="Q9" s="17"/>
      <c r="R9" s="17"/>
      <c r="S9" s="19"/>
      <c r="T9" s="19"/>
      <c r="U9" s="19"/>
      <c r="V9" s="19"/>
      <c r="W9" s="19"/>
      <c r="X9" s="19"/>
      <c r="Y9" s="17"/>
      <c r="Z9" s="17"/>
      <c r="AA9" s="17"/>
      <c r="AB9" s="20"/>
      <c r="AC9" s="21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22"/>
      <c r="AO9" s="17"/>
    </row>
    <row r="10">
      <c r="A10" s="6" t="s">
        <v>107</v>
      </c>
      <c r="B10" s="7" t="s">
        <v>105</v>
      </c>
      <c r="C10" s="7">
        <v>30.0</v>
      </c>
      <c r="D10" s="7" t="s">
        <v>108</v>
      </c>
      <c r="E10" s="7" t="s">
        <v>109</v>
      </c>
      <c r="F10" s="8" t="s">
        <v>110</v>
      </c>
      <c r="G10" s="8" t="s">
        <v>111</v>
      </c>
      <c r="H10" s="8">
        <v>3.0</v>
      </c>
      <c r="I10" s="8">
        <v>1.0</v>
      </c>
      <c r="J10" s="7" t="s">
        <v>48</v>
      </c>
      <c r="K10" s="9" t="s">
        <v>112</v>
      </c>
      <c r="L10" s="7" t="s">
        <v>49</v>
      </c>
      <c r="M10" s="9" t="s">
        <v>113</v>
      </c>
      <c r="N10" s="9" t="s">
        <v>112</v>
      </c>
      <c r="O10" s="10">
        <v>140.0</v>
      </c>
      <c r="P10" s="10">
        <v>6.0</v>
      </c>
      <c r="Q10" s="10">
        <v>1.0</v>
      </c>
      <c r="R10" s="10">
        <v>0.0</v>
      </c>
      <c r="S10" s="11">
        <f>(O10 - U10) / P10</f>
        <v>23.33333333</v>
      </c>
      <c r="T10" s="12" t="s">
        <v>68</v>
      </c>
      <c r="U10" s="12" t="s">
        <v>53</v>
      </c>
      <c r="V10" s="12" t="s">
        <v>56</v>
      </c>
      <c r="W10" s="12" t="s">
        <v>53</v>
      </c>
      <c r="X10" s="12" t="s">
        <v>55</v>
      </c>
      <c r="Y10" s="10">
        <v>5.0</v>
      </c>
      <c r="Z10" s="10">
        <v>1.0</v>
      </c>
      <c r="AA10" s="10">
        <v>1.0</v>
      </c>
      <c r="AB10" s="13">
        <v>0.0</v>
      </c>
      <c r="AC10" s="14">
        <v>197.0</v>
      </c>
      <c r="AD10" s="10">
        <v>7.0</v>
      </c>
      <c r="AE10" s="10">
        <v>1.0</v>
      </c>
      <c r="AF10" s="10">
        <v>1.0</v>
      </c>
      <c r="AG10" s="11">
        <f>AC10/AD10</f>
        <v>28.14285714</v>
      </c>
      <c r="AH10" s="10">
        <v>16.0</v>
      </c>
      <c r="AI10" s="10">
        <v>23.0</v>
      </c>
      <c r="AJ10" s="10">
        <v>6.0</v>
      </c>
      <c r="AK10" s="10">
        <v>2.0</v>
      </c>
      <c r="AL10" s="10">
        <v>2.0</v>
      </c>
      <c r="AM10" s="10">
        <v>3.0</v>
      </c>
      <c r="AN10" s="10">
        <v>3.0</v>
      </c>
      <c r="AO10" s="10">
        <v>0.0</v>
      </c>
    </row>
    <row r="11">
      <c r="A11" s="6" t="s">
        <v>114</v>
      </c>
      <c r="B11" s="15" t="s">
        <v>105</v>
      </c>
      <c r="C11" s="15">
        <v>30.0</v>
      </c>
      <c r="D11" s="15" t="s">
        <v>115</v>
      </c>
      <c r="E11" s="15" t="s">
        <v>75</v>
      </c>
      <c r="F11" s="15"/>
      <c r="G11" s="15"/>
      <c r="H11" s="15"/>
      <c r="I11" s="15"/>
      <c r="J11" s="15" t="s">
        <v>48</v>
      </c>
      <c r="K11" s="15" t="s">
        <v>48</v>
      </c>
      <c r="L11" s="15" t="s">
        <v>77</v>
      </c>
      <c r="M11" s="17"/>
      <c r="N11" s="17"/>
      <c r="O11" s="17"/>
      <c r="P11" s="17"/>
      <c r="Q11" s="17"/>
      <c r="R11" s="17"/>
      <c r="S11" s="19"/>
      <c r="T11" s="19"/>
      <c r="U11" s="19"/>
      <c r="V11" s="19"/>
      <c r="W11" s="19"/>
      <c r="X11" s="19"/>
      <c r="Y11" s="17"/>
      <c r="Z11" s="17"/>
      <c r="AA11" s="17"/>
      <c r="AB11" s="20"/>
      <c r="AC11" s="21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22"/>
      <c r="AO11" s="17"/>
    </row>
    <row r="12">
      <c r="A12" s="6" t="s">
        <v>116</v>
      </c>
      <c r="B12" s="15" t="s">
        <v>105</v>
      </c>
      <c r="C12" s="15">
        <v>30.0</v>
      </c>
      <c r="D12" s="15" t="s">
        <v>117</v>
      </c>
      <c r="E12" s="15" t="s">
        <v>103</v>
      </c>
      <c r="F12" s="15"/>
      <c r="G12" s="15"/>
      <c r="H12" s="15"/>
      <c r="I12" s="15"/>
      <c r="J12" s="15" t="s">
        <v>48</v>
      </c>
      <c r="K12" s="16" t="s">
        <v>118</v>
      </c>
      <c r="L12" s="15" t="s">
        <v>77</v>
      </c>
      <c r="M12" s="17"/>
      <c r="N12" s="17"/>
      <c r="O12" s="17"/>
      <c r="P12" s="17"/>
      <c r="Q12" s="17"/>
      <c r="R12" s="17"/>
      <c r="S12" s="19"/>
      <c r="T12" s="19"/>
      <c r="U12" s="19"/>
      <c r="V12" s="19"/>
      <c r="W12" s="19"/>
      <c r="X12" s="19"/>
      <c r="Y12" s="17"/>
      <c r="Z12" s="17"/>
      <c r="AA12" s="17"/>
      <c r="AB12" s="20"/>
      <c r="AC12" s="21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22"/>
      <c r="AO12" s="17"/>
    </row>
    <row r="13">
      <c r="A13" s="6" t="s">
        <v>119</v>
      </c>
      <c r="B13" s="15" t="s">
        <v>120</v>
      </c>
      <c r="C13" s="15">
        <v>31.0</v>
      </c>
      <c r="D13" s="15" t="s">
        <v>121</v>
      </c>
      <c r="E13" s="15" t="s">
        <v>122</v>
      </c>
      <c r="F13" s="15"/>
      <c r="G13" s="15"/>
      <c r="H13" s="15"/>
      <c r="I13" s="15"/>
      <c r="J13" s="16" t="s">
        <v>123</v>
      </c>
      <c r="K13" s="15" t="s">
        <v>48</v>
      </c>
      <c r="L13" s="15" t="s">
        <v>77</v>
      </c>
      <c r="M13" s="17"/>
      <c r="N13" s="17"/>
      <c r="O13" s="17"/>
      <c r="P13" s="17"/>
      <c r="Q13" s="17"/>
      <c r="R13" s="17"/>
      <c r="S13" s="19"/>
      <c r="T13" s="19"/>
      <c r="U13" s="19"/>
      <c r="V13" s="19"/>
      <c r="W13" s="19"/>
      <c r="X13" s="19"/>
      <c r="Y13" s="17"/>
      <c r="Z13" s="17"/>
      <c r="AA13" s="17"/>
      <c r="AB13" s="20"/>
      <c r="AC13" s="21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22"/>
      <c r="AO13" s="17"/>
    </row>
    <row r="14">
      <c r="A14" s="6" t="s">
        <v>124</v>
      </c>
      <c r="B14" s="15" t="s">
        <v>125</v>
      </c>
      <c r="C14" s="15">
        <v>31.0</v>
      </c>
      <c r="D14" s="15" t="s">
        <v>126</v>
      </c>
      <c r="E14" s="15" t="s">
        <v>122</v>
      </c>
      <c r="F14" s="15"/>
      <c r="G14" s="15"/>
      <c r="H14" s="15"/>
      <c r="I14" s="15"/>
      <c r="J14" s="15" t="s">
        <v>48</v>
      </c>
      <c r="K14" s="15" t="s">
        <v>48</v>
      </c>
      <c r="L14" s="15" t="s">
        <v>77</v>
      </c>
      <c r="M14" s="17"/>
      <c r="N14" s="17"/>
      <c r="O14" s="17"/>
      <c r="P14" s="17"/>
      <c r="Q14" s="17"/>
      <c r="R14" s="17"/>
      <c r="S14" s="19"/>
      <c r="T14" s="19"/>
      <c r="U14" s="19"/>
      <c r="V14" s="19"/>
      <c r="W14" s="19"/>
      <c r="X14" s="19"/>
      <c r="Y14" s="17"/>
      <c r="Z14" s="17"/>
      <c r="AA14" s="17"/>
      <c r="AB14" s="20"/>
      <c r="AC14" s="21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22"/>
      <c r="AO14" s="17"/>
    </row>
    <row r="15">
      <c r="A15" s="6" t="s">
        <v>127</v>
      </c>
      <c r="B15" s="7" t="s">
        <v>128</v>
      </c>
      <c r="C15" s="7">
        <v>31.0</v>
      </c>
      <c r="D15" s="7" t="s">
        <v>129</v>
      </c>
      <c r="E15" s="7" t="s">
        <v>45</v>
      </c>
      <c r="F15" s="8" t="s">
        <v>63</v>
      </c>
      <c r="G15" s="8" t="s">
        <v>47</v>
      </c>
      <c r="H15" s="8">
        <v>2.0</v>
      </c>
      <c r="I15" s="8">
        <v>1.0</v>
      </c>
      <c r="J15" s="9" t="s">
        <v>130</v>
      </c>
      <c r="K15" s="7" t="s">
        <v>48</v>
      </c>
      <c r="L15" s="7" t="s">
        <v>49</v>
      </c>
      <c r="M15" s="9" t="s">
        <v>130</v>
      </c>
      <c r="N15" s="9" t="s">
        <v>131</v>
      </c>
      <c r="O15" s="10">
        <v>141.0</v>
      </c>
      <c r="P15" s="10">
        <v>11.0</v>
      </c>
      <c r="Q15" s="10">
        <v>5.0</v>
      </c>
      <c r="R15" s="10">
        <v>3.0</v>
      </c>
      <c r="S15" s="11">
        <f t="shared" ref="S15:S17" si="5">(O15 - U15) / P15</f>
        <v>12.81818182</v>
      </c>
      <c r="T15" s="12" t="s">
        <v>132</v>
      </c>
      <c r="U15" s="12" t="s">
        <v>53</v>
      </c>
      <c r="V15" s="12" t="s">
        <v>53</v>
      </c>
      <c r="W15" s="12" t="s">
        <v>53</v>
      </c>
      <c r="X15" s="12" t="s">
        <v>53</v>
      </c>
      <c r="Y15" s="10">
        <v>2.0</v>
      </c>
      <c r="Z15" s="10">
        <v>9.0</v>
      </c>
      <c r="AA15" s="10">
        <v>1.0</v>
      </c>
      <c r="AB15" s="13">
        <v>0.0</v>
      </c>
      <c r="AC15" s="14">
        <v>131.0</v>
      </c>
      <c r="AD15" s="10">
        <v>9.0</v>
      </c>
      <c r="AE15" s="10">
        <v>3.0</v>
      </c>
      <c r="AF15" s="10">
        <v>3.0</v>
      </c>
      <c r="AG15" s="11">
        <f t="shared" ref="AG15:AG17" si="6">AC15/AD15</f>
        <v>14.55555556</v>
      </c>
      <c r="AH15" s="10">
        <v>5.0</v>
      </c>
      <c r="AI15" s="10">
        <v>16.0</v>
      </c>
      <c r="AJ15" s="10">
        <v>7.0</v>
      </c>
      <c r="AK15" s="10">
        <v>5.0</v>
      </c>
      <c r="AL15" s="10">
        <v>2.0</v>
      </c>
      <c r="AM15" s="10">
        <v>0.0</v>
      </c>
      <c r="AN15" s="10">
        <v>2.0</v>
      </c>
      <c r="AO15" s="10">
        <v>0.0</v>
      </c>
      <c r="AP15" s="10" t="s">
        <v>133</v>
      </c>
    </row>
    <row r="16">
      <c r="A16" s="6" t="s">
        <v>134</v>
      </c>
      <c r="B16" s="7" t="s">
        <v>128</v>
      </c>
      <c r="C16" s="7">
        <v>31.0</v>
      </c>
      <c r="D16" s="7" t="s">
        <v>135</v>
      </c>
      <c r="E16" s="7" t="s">
        <v>109</v>
      </c>
      <c r="F16" s="8" t="s">
        <v>136</v>
      </c>
      <c r="G16" s="8" t="s">
        <v>137</v>
      </c>
      <c r="H16" s="8">
        <v>3.0</v>
      </c>
      <c r="I16" s="8">
        <v>1.0</v>
      </c>
      <c r="J16" s="7" t="s">
        <v>48</v>
      </c>
      <c r="K16" s="9" t="s">
        <v>138</v>
      </c>
      <c r="L16" s="7" t="s">
        <v>49</v>
      </c>
      <c r="M16" s="9" t="s">
        <v>139</v>
      </c>
      <c r="N16" s="9" t="s">
        <v>138</v>
      </c>
      <c r="O16" s="10">
        <v>128.0</v>
      </c>
      <c r="P16" s="10">
        <v>9.0</v>
      </c>
      <c r="Q16" s="10">
        <v>3.0</v>
      </c>
      <c r="R16" s="10">
        <v>2.0</v>
      </c>
      <c r="S16" s="11">
        <f t="shared" si="5"/>
        <v>14.22222222</v>
      </c>
      <c r="T16" s="12" t="s">
        <v>67</v>
      </c>
      <c r="U16" s="12" t="s">
        <v>53</v>
      </c>
      <c r="V16" s="12" t="s">
        <v>140</v>
      </c>
      <c r="W16" s="12" t="s">
        <v>140</v>
      </c>
      <c r="X16" s="12" t="s">
        <v>84</v>
      </c>
      <c r="Y16" s="10">
        <v>3.0</v>
      </c>
      <c r="Z16" s="10">
        <v>0.0</v>
      </c>
      <c r="AA16" s="10">
        <v>0.0</v>
      </c>
      <c r="AB16" s="13">
        <v>0.0</v>
      </c>
      <c r="AC16" s="14">
        <v>119.0</v>
      </c>
      <c r="AD16" s="10">
        <v>7.0</v>
      </c>
      <c r="AE16" s="10">
        <v>1.0</v>
      </c>
      <c r="AF16" s="10">
        <v>2.0</v>
      </c>
      <c r="AG16" s="11">
        <f t="shared" si="6"/>
        <v>17</v>
      </c>
      <c r="AH16" s="10">
        <v>7.0</v>
      </c>
      <c r="AI16" s="10">
        <v>3.0</v>
      </c>
      <c r="AJ16" s="10">
        <v>1.0</v>
      </c>
      <c r="AK16" s="10">
        <v>2.0</v>
      </c>
      <c r="AL16" s="10">
        <v>2.0</v>
      </c>
      <c r="AM16" s="10">
        <v>1.0</v>
      </c>
      <c r="AN16" s="10">
        <v>4.0</v>
      </c>
      <c r="AO16" s="10">
        <v>0.0</v>
      </c>
    </row>
    <row r="17">
      <c r="A17" s="6" t="s">
        <v>141</v>
      </c>
      <c r="B17" s="7" t="s">
        <v>128</v>
      </c>
      <c r="C17" s="7">
        <v>31.0</v>
      </c>
      <c r="D17" s="7" t="s">
        <v>142</v>
      </c>
      <c r="E17" s="7" t="s">
        <v>143</v>
      </c>
      <c r="F17" s="8" t="s">
        <v>91</v>
      </c>
      <c r="G17" s="8" t="s">
        <v>98</v>
      </c>
      <c r="H17" s="8">
        <v>3.0</v>
      </c>
      <c r="I17" s="8">
        <v>0.0</v>
      </c>
      <c r="J17" s="9" t="s">
        <v>144</v>
      </c>
      <c r="K17" s="9" t="s">
        <v>145</v>
      </c>
      <c r="L17" s="7" t="s">
        <v>49</v>
      </c>
      <c r="M17" s="9" t="s">
        <v>144</v>
      </c>
      <c r="N17" s="9" t="s">
        <v>146</v>
      </c>
      <c r="O17" s="10">
        <v>140.0</v>
      </c>
      <c r="P17" s="10">
        <v>6.0</v>
      </c>
      <c r="Q17" s="10">
        <v>1.0</v>
      </c>
      <c r="R17" s="10">
        <v>2.0</v>
      </c>
      <c r="S17" s="11">
        <f t="shared" si="5"/>
        <v>23.33333333</v>
      </c>
      <c r="T17" s="12" t="s">
        <v>147</v>
      </c>
      <c r="U17" s="12" t="s">
        <v>53</v>
      </c>
      <c r="V17" s="12" t="s">
        <v>69</v>
      </c>
      <c r="W17" s="12" t="s">
        <v>55</v>
      </c>
      <c r="X17" s="12" t="s">
        <v>84</v>
      </c>
      <c r="Y17" s="10">
        <v>5.0</v>
      </c>
      <c r="Z17" s="10">
        <v>2.0</v>
      </c>
      <c r="AA17" s="10" t="s">
        <v>69</v>
      </c>
      <c r="AB17" s="13">
        <v>0.0</v>
      </c>
      <c r="AC17" s="14">
        <v>111.0</v>
      </c>
      <c r="AD17" s="10">
        <v>6.0</v>
      </c>
      <c r="AE17" s="10">
        <v>3.0</v>
      </c>
      <c r="AF17" s="10">
        <v>0.0</v>
      </c>
      <c r="AG17" s="11">
        <f t="shared" si="6"/>
        <v>18.5</v>
      </c>
      <c r="AH17" s="10" t="s">
        <v>69</v>
      </c>
      <c r="AI17" s="10">
        <v>10.0</v>
      </c>
      <c r="AJ17" s="10">
        <v>2.0</v>
      </c>
      <c r="AK17" s="10">
        <v>6.0</v>
      </c>
      <c r="AL17" s="10" t="s">
        <v>69</v>
      </c>
      <c r="AM17" s="10">
        <v>3.0</v>
      </c>
      <c r="AN17" s="10">
        <v>3.0</v>
      </c>
      <c r="AO17" s="10">
        <v>0.0</v>
      </c>
    </row>
    <row r="18">
      <c r="A18" s="6" t="s">
        <v>148</v>
      </c>
      <c r="B18" s="15" t="s">
        <v>128</v>
      </c>
      <c r="C18" s="15">
        <v>31.0</v>
      </c>
      <c r="D18" s="15" t="s">
        <v>149</v>
      </c>
      <c r="E18" s="15" t="s">
        <v>75</v>
      </c>
      <c r="F18" s="15"/>
      <c r="G18" s="15"/>
      <c r="H18" s="15"/>
      <c r="I18" s="15"/>
      <c r="J18" s="15" t="s">
        <v>48</v>
      </c>
      <c r="K18" s="16" t="s">
        <v>150</v>
      </c>
      <c r="L18" s="15" t="s">
        <v>77</v>
      </c>
      <c r="M18" s="17"/>
      <c r="N18" s="17"/>
      <c r="O18" s="17"/>
      <c r="P18" s="17"/>
      <c r="Q18" s="17"/>
      <c r="R18" s="17"/>
      <c r="S18" s="19"/>
      <c r="T18" s="19"/>
      <c r="U18" s="19"/>
      <c r="V18" s="19"/>
      <c r="W18" s="19"/>
      <c r="X18" s="19"/>
      <c r="Y18" s="17"/>
      <c r="Z18" s="17"/>
      <c r="AA18" s="17"/>
      <c r="AB18" s="20"/>
      <c r="AC18" s="21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22"/>
      <c r="AO18" s="17"/>
    </row>
    <row r="19">
      <c r="A19" s="6" t="s">
        <v>151</v>
      </c>
      <c r="B19" s="7" t="s">
        <v>152</v>
      </c>
      <c r="C19" s="7">
        <v>31.0</v>
      </c>
      <c r="D19" s="7" t="s">
        <v>153</v>
      </c>
      <c r="E19" s="7" t="s">
        <v>154</v>
      </c>
      <c r="F19" s="8" t="s">
        <v>81</v>
      </c>
      <c r="G19" s="8" t="s">
        <v>97</v>
      </c>
      <c r="H19" s="8">
        <v>2.0</v>
      </c>
      <c r="I19" s="8">
        <v>1.0</v>
      </c>
      <c r="J19" s="7" t="s">
        <v>48</v>
      </c>
      <c r="K19" s="23" t="s">
        <v>155</v>
      </c>
      <c r="L19" s="7" t="s">
        <v>64</v>
      </c>
      <c r="M19" s="23" t="s">
        <v>155</v>
      </c>
      <c r="N19" s="7" t="s">
        <v>48</v>
      </c>
      <c r="O19" s="10">
        <v>159.0</v>
      </c>
      <c r="P19" s="10">
        <v>7.0</v>
      </c>
      <c r="Q19" s="10">
        <v>4.0</v>
      </c>
      <c r="R19" s="10">
        <v>0.0</v>
      </c>
      <c r="S19" s="11">
        <f t="shared" ref="S19:S23" si="7">(O19 - U19) / P19</f>
        <v>22.71428571</v>
      </c>
      <c r="T19" s="12" t="s">
        <v>156</v>
      </c>
      <c r="U19" s="12" t="s">
        <v>53</v>
      </c>
      <c r="V19" s="12" t="s">
        <v>55</v>
      </c>
      <c r="W19" s="12" t="s">
        <v>55</v>
      </c>
      <c r="X19" s="12" t="s">
        <v>84</v>
      </c>
      <c r="Y19" s="10">
        <v>5.0</v>
      </c>
      <c r="Z19" s="10">
        <v>2.0</v>
      </c>
      <c r="AA19" s="10">
        <v>0.0</v>
      </c>
      <c r="AB19" s="13">
        <v>0.0</v>
      </c>
      <c r="AC19" s="21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22"/>
      <c r="AO19" s="17"/>
    </row>
    <row r="20">
      <c r="A20" s="6" t="s">
        <v>157</v>
      </c>
      <c r="B20" s="7" t="s">
        <v>152</v>
      </c>
      <c r="C20" s="7">
        <v>31.0</v>
      </c>
      <c r="D20" s="7" t="s">
        <v>158</v>
      </c>
      <c r="E20" s="7" t="s">
        <v>90</v>
      </c>
      <c r="F20" s="8" t="s">
        <v>111</v>
      </c>
      <c r="G20" s="8" t="s">
        <v>159</v>
      </c>
      <c r="H20" s="8">
        <v>2.0</v>
      </c>
      <c r="I20" s="8">
        <v>0.0</v>
      </c>
      <c r="J20" s="9" t="s">
        <v>160</v>
      </c>
      <c r="K20" s="7" t="s">
        <v>48</v>
      </c>
      <c r="L20" s="7" t="s">
        <v>49</v>
      </c>
      <c r="M20" s="9" t="s">
        <v>160</v>
      </c>
      <c r="N20" s="9" t="s">
        <v>161</v>
      </c>
      <c r="O20" s="10">
        <v>180.0</v>
      </c>
      <c r="P20" s="10">
        <v>7.0</v>
      </c>
      <c r="Q20" s="10">
        <v>5.0</v>
      </c>
      <c r="R20" s="10">
        <v>0.0</v>
      </c>
      <c r="S20" s="11">
        <f t="shared" si="7"/>
        <v>25.71428571</v>
      </c>
      <c r="T20" s="12" t="s">
        <v>162</v>
      </c>
      <c r="U20" s="12" t="s">
        <v>53</v>
      </c>
      <c r="V20" s="12" t="s">
        <v>69</v>
      </c>
      <c r="W20" s="12" t="s">
        <v>67</v>
      </c>
      <c r="X20" s="12" t="s">
        <v>84</v>
      </c>
      <c r="Y20" s="10">
        <v>7.0</v>
      </c>
      <c r="Z20" s="10">
        <v>7.0</v>
      </c>
      <c r="AA20" s="10" t="s">
        <v>69</v>
      </c>
      <c r="AB20" s="13">
        <v>0.0</v>
      </c>
      <c r="AC20" s="14">
        <v>127.0</v>
      </c>
      <c r="AD20" s="10">
        <v>6.0</v>
      </c>
      <c r="AE20" s="10">
        <v>2.0</v>
      </c>
      <c r="AF20" s="10">
        <v>2.0</v>
      </c>
      <c r="AG20" s="11">
        <f t="shared" ref="AG20:AG23" si="8">AC20/AD20</f>
        <v>21.16666667</v>
      </c>
      <c r="AH20" s="10" t="s">
        <v>69</v>
      </c>
      <c r="AI20" s="10">
        <v>13.0</v>
      </c>
      <c r="AJ20" s="10">
        <v>10.0</v>
      </c>
      <c r="AK20" s="10">
        <v>0.0</v>
      </c>
      <c r="AL20" s="10" t="s">
        <v>69</v>
      </c>
      <c r="AM20" s="10">
        <v>5.0</v>
      </c>
      <c r="AN20" s="10">
        <v>4.0</v>
      </c>
      <c r="AO20" s="10">
        <v>0.0</v>
      </c>
    </row>
    <row r="21" ht="15.75" customHeight="1">
      <c r="A21" s="6" t="s">
        <v>163</v>
      </c>
      <c r="B21" s="7" t="s">
        <v>152</v>
      </c>
      <c r="C21" s="7">
        <v>31.0</v>
      </c>
      <c r="D21" s="7" t="s">
        <v>164</v>
      </c>
      <c r="E21" s="7" t="s">
        <v>165</v>
      </c>
      <c r="F21" s="8" t="s">
        <v>166</v>
      </c>
      <c r="G21" s="8" t="s">
        <v>167</v>
      </c>
      <c r="H21" s="8">
        <v>3.0</v>
      </c>
      <c r="I21" s="8">
        <v>0.0</v>
      </c>
      <c r="J21" s="9" t="s">
        <v>168</v>
      </c>
      <c r="K21" s="7" t="s">
        <v>48</v>
      </c>
      <c r="L21" s="7" t="s">
        <v>64</v>
      </c>
      <c r="M21" s="9" t="s">
        <v>169</v>
      </c>
      <c r="N21" s="9" t="s">
        <v>168</v>
      </c>
      <c r="O21" s="10">
        <v>121.0</v>
      </c>
      <c r="P21" s="10">
        <v>9.0</v>
      </c>
      <c r="Q21" s="10">
        <v>4.0</v>
      </c>
      <c r="R21" s="10">
        <v>2.0</v>
      </c>
      <c r="S21" s="11">
        <f t="shared" si="7"/>
        <v>13.44444444</v>
      </c>
      <c r="T21" s="12" t="s">
        <v>170</v>
      </c>
      <c r="U21" s="12" t="s">
        <v>53</v>
      </c>
      <c r="V21" s="12" t="s">
        <v>69</v>
      </c>
      <c r="W21" s="12" t="s">
        <v>55</v>
      </c>
      <c r="X21" s="12" t="s">
        <v>56</v>
      </c>
      <c r="Y21" s="10">
        <v>5.0</v>
      </c>
      <c r="Z21" s="10">
        <v>0.0</v>
      </c>
      <c r="AA21" s="10" t="s">
        <v>69</v>
      </c>
      <c r="AB21" s="13">
        <v>0.0</v>
      </c>
      <c r="AC21" s="14">
        <v>134.0</v>
      </c>
      <c r="AD21" s="10">
        <v>14.0</v>
      </c>
      <c r="AE21" s="10">
        <v>9.0</v>
      </c>
      <c r="AF21" s="10">
        <v>2.0</v>
      </c>
      <c r="AG21" s="11">
        <f t="shared" si="8"/>
        <v>9.571428571</v>
      </c>
      <c r="AH21" s="10" t="s">
        <v>69</v>
      </c>
      <c r="AI21" s="10">
        <v>7.0</v>
      </c>
      <c r="AJ21" s="10">
        <v>3.0</v>
      </c>
      <c r="AK21" s="10">
        <v>1.0</v>
      </c>
      <c r="AL21" s="10" t="s">
        <v>69</v>
      </c>
      <c r="AM21" s="10">
        <v>0.0</v>
      </c>
      <c r="AN21" s="10">
        <v>0.0</v>
      </c>
      <c r="AO21" s="10">
        <v>0.0</v>
      </c>
    </row>
    <row r="22" ht="15.75" customHeight="1">
      <c r="A22" s="6" t="s">
        <v>171</v>
      </c>
      <c r="B22" s="7" t="s">
        <v>172</v>
      </c>
      <c r="C22" s="7">
        <v>32.0</v>
      </c>
      <c r="D22" s="7" t="s">
        <v>173</v>
      </c>
      <c r="E22" s="7" t="s">
        <v>174</v>
      </c>
      <c r="F22" s="8" t="s">
        <v>159</v>
      </c>
      <c r="G22" s="8" t="s">
        <v>46</v>
      </c>
      <c r="H22" s="8">
        <v>4.0</v>
      </c>
      <c r="I22" s="8">
        <v>0.0</v>
      </c>
      <c r="J22" s="7" t="s">
        <v>48</v>
      </c>
      <c r="K22" s="7" t="s">
        <v>48</v>
      </c>
      <c r="L22" s="7" t="s">
        <v>49</v>
      </c>
      <c r="M22" s="9" t="s">
        <v>175</v>
      </c>
      <c r="N22" s="9" t="s">
        <v>176</v>
      </c>
      <c r="O22" s="10">
        <v>135.0</v>
      </c>
      <c r="P22" s="10">
        <v>4.0</v>
      </c>
      <c r="Q22" s="10">
        <v>0.0</v>
      </c>
      <c r="R22" s="10">
        <v>0.0</v>
      </c>
      <c r="S22" s="11">
        <f t="shared" si="7"/>
        <v>33.75</v>
      </c>
      <c r="T22" s="12" t="s">
        <v>177</v>
      </c>
      <c r="U22" s="12" t="s">
        <v>53</v>
      </c>
      <c r="V22" s="12" t="s">
        <v>69</v>
      </c>
      <c r="W22" s="12" t="s">
        <v>53</v>
      </c>
      <c r="X22" s="12" t="s">
        <v>53</v>
      </c>
      <c r="Y22" s="10">
        <v>8.0</v>
      </c>
      <c r="Z22" s="10">
        <v>0.0</v>
      </c>
      <c r="AA22" s="12" t="s">
        <v>69</v>
      </c>
      <c r="AB22" s="13">
        <v>0.0</v>
      </c>
      <c r="AC22" s="14">
        <v>152.0</v>
      </c>
      <c r="AD22" s="10">
        <v>14.0</v>
      </c>
      <c r="AE22" s="10">
        <v>5.0</v>
      </c>
      <c r="AF22" s="10">
        <v>5.0</v>
      </c>
      <c r="AG22" s="11">
        <f t="shared" si="8"/>
        <v>10.85714286</v>
      </c>
      <c r="AH22" s="10" t="s">
        <v>69</v>
      </c>
      <c r="AI22" s="10">
        <v>9.0</v>
      </c>
      <c r="AJ22" s="10">
        <v>0.0</v>
      </c>
      <c r="AK22" s="10">
        <v>1.0</v>
      </c>
      <c r="AL22" s="10" t="s">
        <v>69</v>
      </c>
      <c r="AM22" s="10">
        <v>0.0</v>
      </c>
      <c r="AN22" s="10">
        <v>0.0</v>
      </c>
      <c r="AO22" s="10">
        <v>0.0</v>
      </c>
    </row>
    <row r="23" ht="15.75" customHeight="1">
      <c r="A23" s="6" t="s">
        <v>178</v>
      </c>
      <c r="B23" s="7" t="s">
        <v>179</v>
      </c>
      <c r="C23" s="7">
        <v>32.0</v>
      </c>
      <c r="D23" s="7" t="s">
        <v>180</v>
      </c>
      <c r="E23" s="7" t="s">
        <v>154</v>
      </c>
      <c r="F23" s="8" t="s">
        <v>181</v>
      </c>
      <c r="G23" s="8" t="s">
        <v>62</v>
      </c>
      <c r="H23" s="8">
        <v>2.0</v>
      </c>
      <c r="I23" s="8">
        <v>1.0</v>
      </c>
      <c r="J23" s="9" t="s">
        <v>182</v>
      </c>
      <c r="K23" s="7" t="s">
        <v>48</v>
      </c>
      <c r="L23" s="7" t="s">
        <v>64</v>
      </c>
      <c r="M23" s="9" t="s">
        <v>183</v>
      </c>
      <c r="N23" s="9" t="s">
        <v>182</v>
      </c>
      <c r="O23" s="10">
        <v>128.0</v>
      </c>
      <c r="P23" s="10">
        <v>4.0</v>
      </c>
      <c r="Q23" s="10">
        <v>0.0</v>
      </c>
      <c r="R23" s="10">
        <v>1.0</v>
      </c>
      <c r="S23" s="11">
        <f t="shared" si="7"/>
        <v>32</v>
      </c>
      <c r="T23" s="12" t="s">
        <v>184</v>
      </c>
      <c r="U23" s="12" t="s">
        <v>53</v>
      </c>
      <c r="V23" s="12" t="s">
        <v>140</v>
      </c>
      <c r="W23" s="12" t="s">
        <v>53</v>
      </c>
      <c r="X23" s="12" t="s">
        <v>53</v>
      </c>
      <c r="Y23" s="10">
        <v>6.0</v>
      </c>
      <c r="Z23" s="10">
        <v>1.0</v>
      </c>
      <c r="AA23" s="10">
        <v>2.0</v>
      </c>
      <c r="AB23" s="13">
        <v>1.0</v>
      </c>
      <c r="AC23" s="14">
        <v>120.0</v>
      </c>
      <c r="AD23" s="10">
        <v>6.0</v>
      </c>
      <c r="AE23" s="10">
        <v>3.0</v>
      </c>
      <c r="AF23" s="10">
        <v>0.0</v>
      </c>
      <c r="AG23" s="11">
        <f t="shared" si="8"/>
        <v>20</v>
      </c>
      <c r="AH23" s="10">
        <v>7.0</v>
      </c>
      <c r="AI23" s="10">
        <v>7.0</v>
      </c>
      <c r="AJ23" s="10">
        <v>4.0</v>
      </c>
      <c r="AK23" s="10">
        <v>0.0</v>
      </c>
      <c r="AL23" s="10">
        <v>2.0</v>
      </c>
      <c r="AM23" s="10">
        <v>4.0</v>
      </c>
      <c r="AN23" s="10">
        <v>2.0</v>
      </c>
      <c r="AO23" s="10">
        <v>0.0</v>
      </c>
      <c r="AP23" s="10" t="s">
        <v>185</v>
      </c>
    </row>
    <row r="24" ht="15.75" customHeight="1">
      <c r="A24" s="6" t="s">
        <v>186</v>
      </c>
      <c r="B24" s="15" t="s">
        <v>179</v>
      </c>
      <c r="C24" s="15">
        <v>32.0</v>
      </c>
      <c r="D24" s="15" t="s">
        <v>187</v>
      </c>
      <c r="E24" s="15" t="s">
        <v>122</v>
      </c>
      <c r="F24" s="15"/>
      <c r="G24" s="15"/>
      <c r="H24" s="15"/>
      <c r="I24" s="15"/>
      <c r="J24" s="16" t="s">
        <v>188</v>
      </c>
      <c r="K24" s="16" t="s">
        <v>189</v>
      </c>
      <c r="L24" s="15" t="s">
        <v>77</v>
      </c>
      <c r="M24" s="17"/>
      <c r="N24" s="17"/>
      <c r="O24" s="17"/>
      <c r="P24" s="17"/>
      <c r="Q24" s="17"/>
      <c r="R24" s="17"/>
      <c r="S24" s="19"/>
      <c r="T24" s="19"/>
      <c r="U24" s="19"/>
      <c r="V24" s="19"/>
      <c r="W24" s="19"/>
      <c r="X24" s="19"/>
      <c r="Y24" s="17"/>
      <c r="Z24" s="17"/>
      <c r="AA24" s="17"/>
      <c r="AB24" s="20"/>
      <c r="AC24" s="21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22"/>
      <c r="AO24" s="17"/>
    </row>
    <row r="25" ht="15.75" customHeight="1">
      <c r="A25" s="6" t="s">
        <v>190</v>
      </c>
      <c r="B25" s="7" t="s">
        <v>179</v>
      </c>
      <c r="C25" s="7">
        <v>32.0</v>
      </c>
      <c r="D25" s="7" t="s">
        <v>191</v>
      </c>
      <c r="E25" s="7" t="s">
        <v>192</v>
      </c>
      <c r="F25" s="8" t="s">
        <v>63</v>
      </c>
      <c r="G25" s="8" t="s">
        <v>137</v>
      </c>
      <c r="H25" s="8">
        <v>2.0</v>
      </c>
      <c r="I25" s="8">
        <v>0.0</v>
      </c>
      <c r="J25" s="9" t="s">
        <v>193</v>
      </c>
      <c r="K25" s="9" t="s">
        <v>194</v>
      </c>
      <c r="L25" s="7" t="s">
        <v>64</v>
      </c>
      <c r="M25" s="9" t="s">
        <v>194</v>
      </c>
      <c r="N25" s="9" t="s">
        <v>193</v>
      </c>
      <c r="O25" s="10">
        <v>148.0</v>
      </c>
      <c r="P25" s="10">
        <v>11.0</v>
      </c>
      <c r="Q25" s="10">
        <v>4.0</v>
      </c>
      <c r="R25" s="10">
        <v>5.0</v>
      </c>
      <c r="S25" s="11">
        <f t="shared" ref="S25:S27" si="9">(O25 - U25) / P25</f>
        <v>13.45454545</v>
      </c>
      <c r="T25" s="12" t="s">
        <v>68</v>
      </c>
      <c r="U25" s="12" t="s">
        <v>53</v>
      </c>
      <c r="V25" s="12" t="s">
        <v>69</v>
      </c>
      <c r="W25" s="12" t="s">
        <v>53</v>
      </c>
      <c r="X25" s="12" t="s">
        <v>53</v>
      </c>
      <c r="Y25" s="10">
        <v>4.0</v>
      </c>
      <c r="Z25" s="10">
        <v>8.0</v>
      </c>
      <c r="AA25" s="12" t="s">
        <v>69</v>
      </c>
      <c r="AB25" s="13">
        <v>0.0</v>
      </c>
      <c r="AC25" s="14">
        <v>127.0</v>
      </c>
      <c r="AD25" s="10">
        <v>8.0</v>
      </c>
      <c r="AE25" s="10">
        <v>4.0</v>
      </c>
      <c r="AF25" s="10">
        <v>2.0</v>
      </c>
      <c r="AG25" s="11">
        <f t="shared" ref="AG25:AG26" si="10">AC25/AD25</f>
        <v>15.875</v>
      </c>
      <c r="AH25" s="12" t="s">
        <v>69</v>
      </c>
      <c r="AI25" s="10">
        <v>0.0</v>
      </c>
      <c r="AJ25" s="10">
        <v>2.0</v>
      </c>
      <c r="AK25" s="10">
        <v>0.0</v>
      </c>
      <c r="AL25" s="12" t="s">
        <v>69</v>
      </c>
      <c r="AM25" s="10">
        <v>5.0</v>
      </c>
      <c r="AN25" s="10">
        <v>2.0</v>
      </c>
      <c r="AO25" s="12" t="s">
        <v>53</v>
      </c>
    </row>
    <row r="26" ht="15.75" customHeight="1">
      <c r="A26" s="6" t="s">
        <v>195</v>
      </c>
      <c r="B26" s="7" t="s">
        <v>179</v>
      </c>
      <c r="C26" s="7">
        <v>32.0</v>
      </c>
      <c r="D26" s="7" t="s">
        <v>196</v>
      </c>
      <c r="E26" s="7" t="s">
        <v>90</v>
      </c>
      <c r="F26" s="8" t="s">
        <v>47</v>
      </c>
      <c r="G26" s="8" t="s">
        <v>136</v>
      </c>
      <c r="H26" s="8">
        <v>2.0</v>
      </c>
      <c r="I26" s="8">
        <v>0.0</v>
      </c>
      <c r="J26" s="9" t="s">
        <v>197</v>
      </c>
      <c r="K26" s="24" t="s">
        <v>198</v>
      </c>
      <c r="L26" s="7" t="s">
        <v>49</v>
      </c>
      <c r="M26" s="9" t="s">
        <v>197</v>
      </c>
      <c r="N26" s="24" t="s">
        <v>198</v>
      </c>
      <c r="O26" s="10">
        <v>131.0</v>
      </c>
      <c r="P26" s="10">
        <v>11.0</v>
      </c>
      <c r="Q26" s="10">
        <v>4.0</v>
      </c>
      <c r="R26" s="10">
        <v>3.0</v>
      </c>
      <c r="S26" s="11">
        <f t="shared" si="9"/>
        <v>10.90909091</v>
      </c>
      <c r="T26" s="12" t="s">
        <v>94</v>
      </c>
      <c r="U26" s="12" t="s">
        <v>170</v>
      </c>
      <c r="V26" s="12" t="s">
        <v>69</v>
      </c>
      <c r="W26" s="12" t="s">
        <v>170</v>
      </c>
      <c r="X26" s="12" t="s">
        <v>54</v>
      </c>
      <c r="Y26" s="10">
        <v>2.0</v>
      </c>
      <c r="Z26" s="10">
        <v>1.0</v>
      </c>
      <c r="AA26" s="12" t="s">
        <v>69</v>
      </c>
      <c r="AB26" s="13">
        <v>0.0</v>
      </c>
      <c r="AC26" s="14">
        <v>121.0</v>
      </c>
      <c r="AD26" s="10">
        <v>9.0</v>
      </c>
      <c r="AE26" s="10">
        <v>5.0</v>
      </c>
      <c r="AF26" s="10">
        <v>2.0</v>
      </c>
      <c r="AG26" s="11">
        <f t="shared" si="10"/>
        <v>13.44444444</v>
      </c>
      <c r="AH26" s="12" t="s">
        <v>69</v>
      </c>
      <c r="AI26" s="10">
        <v>6.0</v>
      </c>
      <c r="AJ26" s="10">
        <v>7.0</v>
      </c>
      <c r="AK26" s="10" t="s">
        <v>199</v>
      </c>
      <c r="AL26" s="12" t="s">
        <v>69</v>
      </c>
      <c r="AM26" s="10">
        <v>2.0</v>
      </c>
      <c r="AN26" s="10">
        <v>2.0</v>
      </c>
      <c r="AO26" s="10">
        <v>0.0</v>
      </c>
    </row>
    <row r="27" ht="15.75" customHeight="1">
      <c r="A27" s="6" t="s">
        <v>200</v>
      </c>
      <c r="B27" s="7" t="s">
        <v>201</v>
      </c>
      <c r="C27" s="7">
        <v>32.0</v>
      </c>
      <c r="D27" s="7" t="s">
        <v>202</v>
      </c>
      <c r="E27" s="7" t="s">
        <v>45</v>
      </c>
      <c r="F27" s="8" t="s">
        <v>203</v>
      </c>
      <c r="G27" s="8" t="s">
        <v>97</v>
      </c>
      <c r="H27" s="8">
        <v>2.0</v>
      </c>
      <c r="I27" s="8">
        <v>1.0</v>
      </c>
      <c r="J27" s="7" t="s">
        <v>48</v>
      </c>
      <c r="K27" s="9" t="s">
        <v>204</v>
      </c>
      <c r="L27" s="7" t="s">
        <v>49</v>
      </c>
      <c r="M27" s="9" t="s">
        <v>205</v>
      </c>
      <c r="N27" s="7" t="s">
        <v>48</v>
      </c>
      <c r="O27" s="10">
        <v>145.0</v>
      </c>
      <c r="P27" s="10">
        <v>6.0</v>
      </c>
      <c r="Q27" s="10">
        <v>2.0</v>
      </c>
      <c r="R27" s="10">
        <v>1.0</v>
      </c>
      <c r="S27" s="11">
        <f t="shared" si="9"/>
        <v>22.16666667</v>
      </c>
      <c r="T27" s="12" t="s">
        <v>206</v>
      </c>
      <c r="U27" s="12" t="s">
        <v>207</v>
      </c>
      <c r="V27" s="12" t="s">
        <v>68</v>
      </c>
      <c r="W27" s="12" t="s">
        <v>55</v>
      </c>
      <c r="X27" s="12" t="s">
        <v>53</v>
      </c>
      <c r="Y27" s="10">
        <v>2.0</v>
      </c>
      <c r="Z27" s="10">
        <v>3.0</v>
      </c>
      <c r="AA27" s="10">
        <v>1.0</v>
      </c>
      <c r="AB27" s="13">
        <v>0.0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10" t="s">
        <v>208</v>
      </c>
    </row>
    <row r="28" ht="15.75" customHeight="1">
      <c r="A28" s="6" t="s">
        <v>209</v>
      </c>
      <c r="B28" s="15" t="s">
        <v>201</v>
      </c>
      <c r="C28" s="15">
        <v>32.0</v>
      </c>
      <c r="D28" s="15" t="s">
        <v>210</v>
      </c>
      <c r="E28" s="15" t="s">
        <v>103</v>
      </c>
      <c r="F28" s="15"/>
      <c r="G28" s="15"/>
      <c r="H28" s="15"/>
      <c r="I28" s="15"/>
      <c r="J28" s="15" t="s">
        <v>48</v>
      </c>
      <c r="K28" s="16" t="s">
        <v>211</v>
      </c>
      <c r="L28" s="15" t="s">
        <v>77</v>
      </c>
      <c r="M28" s="17"/>
      <c r="N28" s="17"/>
      <c r="O28" s="17"/>
      <c r="P28" s="17"/>
      <c r="Q28" s="17"/>
      <c r="R28" s="17"/>
      <c r="S28" s="19"/>
      <c r="T28" s="19"/>
      <c r="U28" s="19"/>
      <c r="V28" s="19"/>
      <c r="W28" s="19"/>
      <c r="X28" s="19"/>
      <c r="Y28" s="17"/>
      <c r="Z28" s="17"/>
      <c r="AA28" s="17"/>
      <c r="AB28" s="20"/>
      <c r="AC28" s="21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22"/>
      <c r="AO28" s="17"/>
    </row>
    <row r="29" ht="15.75" customHeight="1">
      <c r="A29" s="6" t="s">
        <v>212</v>
      </c>
      <c r="B29" s="7" t="s">
        <v>201</v>
      </c>
      <c r="C29" s="7">
        <v>32.0</v>
      </c>
      <c r="D29" s="7" t="s">
        <v>213</v>
      </c>
      <c r="E29" s="7" t="s">
        <v>214</v>
      </c>
      <c r="F29" s="8" t="s">
        <v>81</v>
      </c>
      <c r="G29" s="8" t="s">
        <v>167</v>
      </c>
      <c r="H29" s="8">
        <v>1.0</v>
      </c>
      <c r="I29" s="8">
        <v>0.0</v>
      </c>
      <c r="J29" s="9" t="s">
        <v>215</v>
      </c>
      <c r="K29" s="9" t="s">
        <v>216</v>
      </c>
      <c r="L29" s="7" t="s">
        <v>49</v>
      </c>
      <c r="M29" s="9" t="s">
        <v>215</v>
      </c>
      <c r="N29" s="9" t="s">
        <v>216</v>
      </c>
      <c r="O29" s="10">
        <v>150.0</v>
      </c>
      <c r="P29" s="10">
        <v>7.0</v>
      </c>
      <c r="Q29" s="10">
        <v>3.0</v>
      </c>
      <c r="R29" s="10">
        <v>3.0</v>
      </c>
      <c r="S29" s="11">
        <f t="shared" ref="S29:S31" si="11">(O29 - U29) / P29</f>
        <v>21.42857143</v>
      </c>
      <c r="T29" s="12" t="s">
        <v>140</v>
      </c>
      <c r="U29" s="12" t="s">
        <v>53</v>
      </c>
      <c r="V29" s="12" t="s">
        <v>69</v>
      </c>
      <c r="W29" s="12" t="s">
        <v>217</v>
      </c>
      <c r="X29" s="12" t="s">
        <v>53</v>
      </c>
      <c r="Y29" s="10">
        <v>2.0</v>
      </c>
      <c r="Z29" s="10">
        <v>5.0</v>
      </c>
      <c r="AA29" s="12" t="s">
        <v>69</v>
      </c>
      <c r="AB29" s="13">
        <v>0.0</v>
      </c>
      <c r="AC29" s="14">
        <v>135.0</v>
      </c>
      <c r="AD29" s="10">
        <v>16.0</v>
      </c>
      <c r="AE29" s="10">
        <v>9.0</v>
      </c>
      <c r="AF29" s="10">
        <v>6.0</v>
      </c>
      <c r="AG29" s="11">
        <f t="shared" ref="AG29:AG31" si="12">AC29/AD29</f>
        <v>8.4375</v>
      </c>
      <c r="AH29" s="12" t="s">
        <v>69</v>
      </c>
      <c r="AI29" s="10">
        <v>3.0</v>
      </c>
      <c r="AJ29" s="10">
        <v>3.0</v>
      </c>
      <c r="AK29" s="10">
        <v>2.0</v>
      </c>
      <c r="AL29" s="12" t="s">
        <v>69</v>
      </c>
      <c r="AM29" s="10">
        <v>1.0</v>
      </c>
      <c r="AN29" s="10">
        <v>0.0</v>
      </c>
      <c r="AO29" s="10">
        <v>0.0</v>
      </c>
    </row>
    <row r="30" ht="15.75" customHeight="1">
      <c r="A30" s="6" t="s">
        <v>218</v>
      </c>
      <c r="B30" s="7" t="s">
        <v>201</v>
      </c>
      <c r="C30" s="7">
        <v>32.0</v>
      </c>
      <c r="D30" s="7" t="s">
        <v>219</v>
      </c>
      <c r="E30" s="7" t="s">
        <v>165</v>
      </c>
      <c r="F30" s="8" t="s">
        <v>220</v>
      </c>
      <c r="G30" s="8" t="s">
        <v>98</v>
      </c>
      <c r="H30" s="8">
        <v>3.0</v>
      </c>
      <c r="I30" s="8">
        <v>0.0</v>
      </c>
      <c r="J30" s="9" t="s">
        <v>221</v>
      </c>
      <c r="K30" s="9" t="s">
        <v>222</v>
      </c>
      <c r="L30" s="7" t="s">
        <v>64</v>
      </c>
      <c r="M30" s="9" t="s">
        <v>222</v>
      </c>
      <c r="N30" s="9" t="s">
        <v>221</v>
      </c>
      <c r="O30" s="10">
        <v>135.0</v>
      </c>
      <c r="P30" s="10">
        <v>9.0</v>
      </c>
      <c r="Q30" s="10">
        <v>4.0</v>
      </c>
      <c r="R30" s="10">
        <v>2.0</v>
      </c>
      <c r="S30" s="11">
        <f t="shared" si="11"/>
        <v>14.55555556</v>
      </c>
      <c r="T30" s="12" t="s">
        <v>217</v>
      </c>
      <c r="U30" s="12" t="s">
        <v>67</v>
      </c>
      <c r="V30" s="12" t="s">
        <v>69</v>
      </c>
      <c r="W30" s="12" t="s">
        <v>54</v>
      </c>
      <c r="X30" s="12" t="s">
        <v>55</v>
      </c>
      <c r="Y30" s="10">
        <v>3.0</v>
      </c>
      <c r="Z30" s="10">
        <v>6.0</v>
      </c>
      <c r="AA30" s="12" t="s">
        <v>69</v>
      </c>
      <c r="AB30" s="13">
        <v>0.0</v>
      </c>
      <c r="AC30" s="14">
        <v>119.0</v>
      </c>
      <c r="AD30" s="10">
        <v>10.0</v>
      </c>
      <c r="AE30" s="10">
        <v>5.0</v>
      </c>
      <c r="AF30" s="10">
        <v>2.0</v>
      </c>
      <c r="AG30" s="11">
        <f t="shared" si="12"/>
        <v>11.9</v>
      </c>
      <c r="AH30" s="10">
        <v>2.0</v>
      </c>
      <c r="AI30" s="10">
        <v>4.0</v>
      </c>
      <c r="AJ30" s="10">
        <v>3.0</v>
      </c>
      <c r="AK30" s="10">
        <v>3.0</v>
      </c>
      <c r="AL30" s="12" t="s">
        <v>69</v>
      </c>
      <c r="AM30" s="10">
        <v>6.0</v>
      </c>
      <c r="AN30" s="10">
        <v>3.0</v>
      </c>
      <c r="AO30" s="10">
        <v>1.0</v>
      </c>
      <c r="AP30" s="10" t="s">
        <v>223</v>
      </c>
    </row>
    <row r="31" ht="15.75" customHeight="1">
      <c r="A31" s="25" t="s">
        <v>224</v>
      </c>
      <c r="B31" s="26" t="s">
        <v>225</v>
      </c>
      <c r="C31" s="26">
        <v>32.0</v>
      </c>
      <c r="D31" s="26" t="s">
        <v>226</v>
      </c>
      <c r="E31" s="26" t="s">
        <v>154</v>
      </c>
      <c r="F31" s="27" t="s">
        <v>227</v>
      </c>
      <c r="G31" s="27" t="s">
        <v>110</v>
      </c>
      <c r="H31" s="27">
        <v>2.0</v>
      </c>
      <c r="I31" s="27">
        <v>1.0</v>
      </c>
      <c r="J31" s="28" t="s">
        <v>228</v>
      </c>
      <c r="K31" s="26" t="s">
        <v>48</v>
      </c>
      <c r="L31" s="26" t="s">
        <v>64</v>
      </c>
      <c r="M31" s="28" t="s">
        <v>229</v>
      </c>
      <c r="N31" s="28" t="s">
        <v>228</v>
      </c>
      <c r="O31" s="29">
        <v>217.0</v>
      </c>
      <c r="P31" s="29">
        <v>6.0</v>
      </c>
      <c r="Q31" s="29">
        <v>2.0</v>
      </c>
      <c r="R31" s="29">
        <v>0.0</v>
      </c>
      <c r="S31" s="30">
        <f t="shared" si="11"/>
        <v>25.5</v>
      </c>
      <c r="T31" s="31" t="s">
        <v>52</v>
      </c>
      <c r="U31" s="31" t="s">
        <v>230</v>
      </c>
      <c r="V31" s="31" t="s">
        <v>67</v>
      </c>
      <c r="W31" s="31" t="s">
        <v>67</v>
      </c>
      <c r="X31" s="31" t="s">
        <v>56</v>
      </c>
      <c r="Y31" s="29">
        <v>2.0</v>
      </c>
      <c r="Z31" s="29">
        <v>3.0</v>
      </c>
      <c r="AA31" s="29">
        <v>2.0</v>
      </c>
      <c r="AB31" s="32"/>
      <c r="AC31" s="33">
        <v>145.0</v>
      </c>
      <c r="AD31" s="29">
        <v>7.0</v>
      </c>
      <c r="AE31" s="29">
        <v>2.0</v>
      </c>
      <c r="AF31" s="29">
        <v>1.0</v>
      </c>
      <c r="AG31" s="30">
        <f t="shared" si="12"/>
        <v>20.71428571</v>
      </c>
      <c r="AH31" s="29">
        <v>2.0</v>
      </c>
      <c r="AI31" s="29">
        <v>4.0</v>
      </c>
      <c r="AJ31" s="29">
        <v>5.0</v>
      </c>
      <c r="AK31" s="29">
        <v>3.0</v>
      </c>
      <c r="AL31" s="29">
        <v>1.0</v>
      </c>
      <c r="AM31" s="29">
        <v>4.0</v>
      </c>
      <c r="AN31" s="29">
        <v>2.0</v>
      </c>
      <c r="AO31" s="30"/>
      <c r="AP31" s="10" t="s">
        <v>231</v>
      </c>
    </row>
    <row r="32" ht="15.75" customHeight="1">
      <c r="A32" s="6" t="s">
        <v>232</v>
      </c>
      <c r="B32" s="15" t="s">
        <v>233</v>
      </c>
      <c r="C32" s="15">
        <v>33.0</v>
      </c>
      <c r="D32" s="15" t="s">
        <v>234</v>
      </c>
      <c r="E32" s="15" t="s">
        <v>75</v>
      </c>
      <c r="F32" s="15"/>
      <c r="G32" s="15"/>
      <c r="H32" s="15"/>
      <c r="I32" s="15"/>
      <c r="J32" s="16" t="s">
        <v>235</v>
      </c>
      <c r="K32" s="15" t="s">
        <v>48</v>
      </c>
      <c r="L32" s="15" t="s">
        <v>77</v>
      </c>
      <c r="M32" s="17"/>
      <c r="N32" s="17"/>
      <c r="O32" s="17"/>
      <c r="P32" s="17"/>
      <c r="Q32" s="17"/>
      <c r="R32" s="17"/>
      <c r="S32" s="19"/>
      <c r="T32" s="19"/>
      <c r="U32" s="19"/>
      <c r="V32" s="19"/>
      <c r="W32" s="19"/>
      <c r="X32" s="19"/>
      <c r="Y32" s="17"/>
      <c r="Z32" s="17"/>
      <c r="AA32" s="17"/>
      <c r="AB32" s="20"/>
      <c r="AC32" s="21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22"/>
      <c r="AO32" s="17"/>
    </row>
    <row r="33" ht="15.75" customHeight="1">
      <c r="A33" s="6" t="s">
        <v>236</v>
      </c>
      <c r="B33" s="7" t="s">
        <v>233</v>
      </c>
      <c r="C33" s="7">
        <v>33.0</v>
      </c>
      <c r="D33" s="7" t="s">
        <v>237</v>
      </c>
      <c r="E33" s="7" t="s">
        <v>143</v>
      </c>
      <c r="F33" s="8" t="s">
        <v>227</v>
      </c>
      <c r="G33" s="8" t="s">
        <v>46</v>
      </c>
      <c r="H33" s="8">
        <v>3.0</v>
      </c>
      <c r="I33" s="8">
        <v>0.0</v>
      </c>
      <c r="J33" s="7" t="s">
        <v>48</v>
      </c>
      <c r="K33" s="7" t="s">
        <v>48</v>
      </c>
      <c r="L33" s="7" t="s">
        <v>49</v>
      </c>
      <c r="M33" s="9" t="s">
        <v>238</v>
      </c>
      <c r="N33" s="9" t="s">
        <v>239</v>
      </c>
      <c r="O33" s="10">
        <v>153.0</v>
      </c>
      <c r="P33" s="10">
        <v>5.0</v>
      </c>
      <c r="Q33" s="10">
        <v>1.0</v>
      </c>
      <c r="R33" s="10">
        <v>1.0</v>
      </c>
      <c r="S33" s="11">
        <f t="shared" ref="S33:S34" si="13">(O33 - U33) / P33</f>
        <v>26.6</v>
      </c>
      <c r="T33" s="12" t="s">
        <v>240</v>
      </c>
      <c r="U33" s="12" t="s">
        <v>156</v>
      </c>
      <c r="V33" s="12" t="s">
        <v>69</v>
      </c>
      <c r="W33" s="12" t="s">
        <v>56</v>
      </c>
      <c r="X33" s="12" t="s">
        <v>53</v>
      </c>
      <c r="Y33" s="10">
        <v>6.0</v>
      </c>
      <c r="Z33" s="10">
        <v>3.0</v>
      </c>
      <c r="AA33" s="12" t="s">
        <v>69</v>
      </c>
      <c r="AB33" s="13">
        <v>0.0</v>
      </c>
      <c r="AC33" s="14">
        <v>140.0</v>
      </c>
      <c r="AD33" s="10">
        <v>12.0</v>
      </c>
      <c r="AE33" s="10">
        <v>5.0</v>
      </c>
      <c r="AF33" s="10">
        <v>4.0</v>
      </c>
      <c r="AG33" s="11">
        <f>AC33/AD33</f>
        <v>11.66666667</v>
      </c>
      <c r="AH33" s="12" t="s">
        <v>69</v>
      </c>
      <c r="AI33" s="10">
        <v>10.0</v>
      </c>
      <c r="AJ33" s="10">
        <v>5.0</v>
      </c>
      <c r="AK33" s="10">
        <v>0.0</v>
      </c>
      <c r="AL33" s="12" t="s">
        <v>69</v>
      </c>
      <c r="AM33" s="10">
        <v>1.0</v>
      </c>
      <c r="AN33" s="10">
        <v>0.0</v>
      </c>
      <c r="AO33" s="10">
        <v>0.0</v>
      </c>
      <c r="AP33" s="10" t="s">
        <v>241</v>
      </c>
    </row>
    <row r="34" ht="15.75" customHeight="1">
      <c r="A34" s="6" t="s">
        <v>242</v>
      </c>
      <c r="B34" s="7" t="s">
        <v>233</v>
      </c>
      <c r="C34" s="7">
        <v>33.0</v>
      </c>
      <c r="D34" s="7" t="s">
        <v>243</v>
      </c>
      <c r="E34" s="7" t="s">
        <v>154</v>
      </c>
      <c r="F34" s="8" t="s">
        <v>181</v>
      </c>
      <c r="G34" s="8" t="s">
        <v>97</v>
      </c>
      <c r="H34" s="8">
        <v>2.0</v>
      </c>
      <c r="I34" s="8">
        <v>1.0</v>
      </c>
      <c r="J34" s="7" t="s">
        <v>48</v>
      </c>
      <c r="K34" s="7" t="s">
        <v>48</v>
      </c>
      <c r="L34" s="7" t="s">
        <v>64</v>
      </c>
      <c r="M34" s="9" t="s">
        <v>244</v>
      </c>
      <c r="N34" s="7" t="s">
        <v>48</v>
      </c>
      <c r="O34" s="10">
        <v>111.0</v>
      </c>
      <c r="P34" s="10">
        <v>3.0</v>
      </c>
      <c r="Q34" s="10">
        <v>0.0</v>
      </c>
      <c r="R34" s="10">
        <v>0.0</v>
      </c>
      <c r="S34" s="11">
        <f t="shared" si="13"/>
        <v>37</v>
      </c>
      <c r="T34" s="12" t="s">
        <v>245</v>
      </c>
      <c r="U34" s="12" t="s">
        <v>53</v>
      </c>
      <c r="V34" s="12" t="s">
        <v>170</v>
      </c>
      <c r="W34" s="12" t="s">
        <v>53</v>
      </c>
      <c r="X34" s="12" t="s">
        <v>53</v>
      </c>
      <c r="Y34" s="10">
        <v>5.0</v>
      </c>
      <c r="Z34" s="10">
        <v>0.0</v>
      </c>
      <c r="AA34" s="10">
        <v>0.0</v>
      </c>
      <c r="AB34" s="13">
        <v>0.0</v>
      </c>
      <c r="AC34" s="21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0" t="s">
        <v>246</v>
      </c>
    </row>
    <row r="35" ht="15.75" customHeight="1">
      <c r="A35" s="6" t="s">
        <v>247</v>
      </c>
      <c r="B35" s="15" t="s">
        <v>233</v>
      </c>
      <c r="C35" s="15">
        <v>33.0</v>
      </c>
      <c r="D35" s="15" t="s">
        <v>248</v>
      </c>
      <c r="E35" s="15" t="s">
        <v>122</v>
      </c>
      <c r="F35" s="15"/>
      <c r="G35" s="15"/>
      <c r="H35" s="15"/>
      <c r="I35" s="15"/>
      <c r="J35" s="16" t="s">
        <v>249</v>
      </c>
      <c r="K35" s="16" t="s">
        <v>250</v>
      </c>
      <c r="L35" s="15" t="s">
        <v>77</v>
      </c>
      <c r="M35" s="17"/>
      <c r="N35" s="17"/>
      <c r="O35" s="17"/>
      <c r="P35" s="17"/>
      <c r="Q35" s="17"/>
      <c r="R35" s="17"/>
      <c r="S35" s="19"/>
      <c r="T35" s="19"/>
      <c r="U35" s="19"/>
      <c r="V35" s="19"/>
      <c r="W35" s="19"/>
      <c r="X35" s="19"/>
      <c r="Y35" s="17"/>
      <c r="Z35" s="17"/>
      <c r="AA35" s="17"/>
      <c r="AB35" s="20"/>
      <c r="AC35" s="21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22"/>
      <c r="AO35" s="17"/>
    </row>
    <row r="36" ht="15.75" customHeight="1">
      <c r="A36" s="6" t="s">
        <v>251</v>
      </c>
      <c r="B36" s="7" t="s">
        <v>233</v>
      </c>
      <c r="C36" s="7">
        <v>33.0</v>
      </c>
      <c r="D36" s="7" t="s">
        <v>252</v>
      </c>
      <c r="E36" s="7" t="s">
        <v>61</v>
      </c>
      <c r="F36" s="8" t="s">
        <v>110</v>
      </c>
      <c r="G36" s="8" t="s">
        <v>98</v>
      </c>
      <c r="H36" s="8">
        <v>1.0</v>
      </c>
      <c r="I36" s="8">
        <v>0.0</v>
      </c>
      <c r="J36" s="9" t="s">
        <v>253</v>
      </c>
      <c r="K36" s="9" t="s">
        <v>254</v>
      </c>
      <c r="L36" s="7" t="s">
        <v>64</v>
      </c>
      <c r="M36" s="9" t="s">
        <v>254</v>
      </c>
      <c r="N36" s="9" t="s">
        <v>253</v>
      </c>
      <c r="O36" s="10">
        <v>142.0</v>
      </c>
      <c r="P36" s="10">
        <v>5.0</v>
      </c>
      <c r="Q36" s="10">
        <v>1.0</v>
      </c>
      <c r="R36" s="10">
        <v>3.0</v>
      </c>
      <c r="S36" s="11">
        <f t="shared" ref="S36:S40" si="14">(O36 - U36) / P36</f>
        <v>19</v>
      </c>
      <c r="T36" s="12" t="s">
        <v>206</v>
      </c>
      <c r="U36" s="12" t="s">
        <v>255</v>
      </c>
      <c r="V36" s="12" t="s">
        <v>69</v>
      </c>
      <c r="W36" s="12" t="s">
        <v>53</v>
      </c>
      <c r="X36" s="12" t="s">
        <v>140</v>
      </c>
      <c r="Y36" s="10">
        <v>2.0</v>
      </c>
      <c r="Z36" s="10">
        <v>1.0</v>
      </c>
      <c r="AA36" s="12" t="s">
        <v>69</v>
      </c>
      <c r="AB36" s="13">
        <v>3.0</v>
      </c>
      <c r="AC36" s="14">
        <v>112.0</v>
      </c>
      <c r="AD36" s="10">
        <v>5.0</v>
      </c>
      <c r="AE36" s="10">
        <v>4.0</v>
      </c>
      <c r="AF36" s="10">
        <v>0.0</v>
      </c>
      <c r="AG36" s="11">
        <f t="shared" ref="AG36:AG40" si="15">AC36/AD36</f>
        <v>22.4</v>
      </c>
      <c r="AH36" s="12" t="s">
        <v>69</v>
      </c>
      <c r="AI36" s="10">
        <v>1.0</v>
      </c>
      <c r="AJ36" s="10">
        <v>6.0</v>
      </c>
      <c r="AK36" s="10">
        <v>0.0</v>
      </c>
      <c r="AL36" s="10" t="s">
        <v>69</v>
      </c>
      <c r="AM36" s="10">
        <v>4.0</v>
      </c>
      <c r="AN36" s="10">
        <v>1.0</v>
      </c>
      <c r="AO36" s="10">
        <v>0.0</v>
      </c>
      <c r="AP36" s="10" t="s">
        <v>256</v>
      </c>
    </row>
    <row r="37" ht="15.75" customHeight="1">
      <c r="A37" s="25" t="s">
        <v>257</v>
      </c>
      <c r="B37" s="26" t="s">
        <v>258</v>
      </c>
      <c r="C37" s="26">
        <v>33.0</v>
      </c>
      <c r="D37" s="26" t="s">
        <v>259</v>
      </c>
      <c r="E37" s="26" t="s">
        <v>260</v>
      </c>
      <c r="F37" s="27" t="s">
        <v>111</v>
      </c>
      <c r="G37" s="27" t="s">
        <v>81</v>
      </c>
      <c r="H37" s="27">
        <v>4.0</v>
      </c>
      <c r="I37" s="27">
        <v>3.0</v>
      </c>
      <c r="J37" s="28" t="s">
        <v>261</v>
      </c>
      <c r="K37" s="28" t="s">
        <v>262</v>
      </c>
      <c r="L37" s="26" t="s">
        <v>49</v>
      </c>
      <c r="M37" s="28" t="s">
        <v>261</v>
      </c>
      <c r="N37" s="28" t="s">
        <v>263</v>
      </c>
      <c r="O37" s="29">
        <v>308.0</v>
      </c>
      <c r="P37" s="29">
        <v>11.0</v>
      </c>
      <c r="Q37" s="29">
        <v>2.0</v>
      </c>
      <c r="R37" s="29">
        <v>2.0</v>
      </c>
      <c r="S37" s="30">
        <f t="shared" si="14"/>
        <v>28</v>
      </c>
      <c r="T37" s="31" t="s">
        <v>264</v>
      </c>
      <c r="U37" s="31" t="s">
        <v>53</v>
      </c>
      <c r="V37" s="31" t="s">
        <v>265</v>
      </c>
      <c r="W37" s="31" t="s">
        <v>84</v>
      </c>
      <c r="X37" s="31" t="s">
        <v>53</v>
      </c>
      <c r="Y37" s="29">
        <v>8.0</v>
      </c>
      <c r="Z37" s="29">
        <v>5.0</v>
      </c>
      <c r="AA37" s="29">
        <v>4.0</v>
      </c>
      <c r="AB37" s="34">
        <v>0.0</v>
      </c>
      <c r="AC37" s="33">
        <v>161.0</v>
      </c>
      <c r="AD37" s="29">
        <v>8.0</v>
      </c>
      <c r="AE37" s="29">
        <v>1.0</v>
      </c>
      <c r="AF37" s="29">
        <v>0.0</v>
      </c>
      <c r="AG37" s="30">
        <f t="shared" si="15"/>
        <v>20.125</v>
      </c>
      <c r="AH37" s="29">
        <v>2.0</v>
      </c>
      <c r="AI37" s="29">
        <v>19.0</v>
      </c>
      <c r="AJ37" s="29">
        <v>0.0</v>
      </c>
      <c r="AK37" s="29">
        <v>2.0</v>
      </c>
      <c r="AL37" s="29">
        <v>4.0</v>
      </c>
      <c r="AM37" s="29">
        <v>0.0</v>
      </c>
      <c r="AN37" s="29">
        <v>0.0</v>
      </c>
      <c r="AO37" s="29">
        <v>0.0</v>
      </c>
      <c r="AP37" s="10" t="s">
        <v>266</v>
      </c>
    </row>
    <row r="38" ht="15.75" customHeight="1">
      <c r="A38" s="6" t="s">
        <v>267</v>
      </c>
      <c r="B38" s="7" t="s">
        <v>258</v>
      </c>
      <c r="C38" s="7">
        <v>33.0</v>
      </c>
      <c r="D38" s="7" t="s">
        <v>268</v>
      </c>
      <c r="E38" s="7" t="s">
        <v>154</v>
      </c>
      <c r="F38" s="8" t="s">
        <v>47</v>
      </c>
      <c r="G38" s="8" t="s">
        <v>91</v>
      </c>
      <c r="H38" s="8">
        <v>2.0</v>
      </c>
      <c r="I38" s="8">
        <v>1.0</v>
      </c>
      <c r="J38" s="9" t="s">
        <v>269</v>
      </c>
      <c r="K38" s="9" t="s">
        <v>270</v>
      </c>
      <c r="L38" s="7" t="s">
        <v>64</v>
      </c>
      <c r="M38" s="9" t="s">
        <v>270</v>
      </c>
      <c r="N38" s="9" t="s">
        <v>269</v>
      </c>
      <c r="O38" s="10">
        <v>131.0</v>
      </c>
      <c r="P38" s="10">
        <v>9.0</v>
      </c>
      <c r="Q38" s="10">
        <v>3.0</v>
      </c>
      <c r="R38" s="10">
        <v>3.0</v>
      </c>
      <c r="S38" s="11">
        <f t="shared" si="14"/>
        <v>14.55555556</v>
      </c>
      <c r="T38" s="12" t="s">
        <v>177</v>
      </c>
      <c r="U38" s="12" t="s">
        <v>53</v>
      </c>
      <c r="V38" s="12" t="s">
        <v>132</v>
      </c>
      <c r="W38" s="12" t="s">
        <v>217</v>
      </c>
      <c r="X38" s="12" t="s">
        <v>140</v>
      </c>
      <c r="Y38" s="10">
        <v>3.0</v>
      </c>
      <c r="Z38" s="10">
        <v>0.0</v>
      </c>
      <c r="AA38" s="10">
        <v>0.0</v>
      </c>
      <c r="AB38" s="13">
        <v>0.0</v>
      </c>
      <c r="AC38" s="14">
        <v>173.0</v>
      </c>
      <c r="AD38" s="10">
        <v>8.0</v>
      </c>
      <c r="AE38" s="10">
        <v>4.0</v>
      </c>
      <c r="AF38" s="10">
        <v>1.0</v>
      </c>
      <c r="AG38" s="11">
        <f t="shared" si="15"/>
        <v>21.625</v>
      </c>
      <c r="AH38" s="10">
        <v>12.0</v>
      </c>
      <c r="AI38" s="10">
        <v>0.0</v>
      </c>
      <c r="AJ38" s="10">
        <v>7.0</v>
      </c>
      <c r="AK38" s="10">
        <v>0.0</v>
      </c>
      <c r="AL38" s="10">
        <v>2.0</v>
      </c>
      <c r="AM38" s="10">
        <v>7.0</v>
      </c>
      <c r="AN38" s="10">
        <v>0.0</v>
      </c>
      <c r="AO38" s="10">
        <v>0.0</v>
      </c>
      <c r="AP38" s="10" t="s">
        <v>271</v>
      </c>
    </row>
    <row r="39" ht="15.75" customHeight="1">
      <c r="A39" s="6" t="s">
        <v>272</v>
      </c>
      <c r="B39" s="7" t="s">
        <v>258</v>
      </c>
      <c r="C39" s="7">
        <v>33.0</v>
      </c>
      <c r="D39" s="7" t="s">
        <v>273</v>
      </c>
      <c r="E39" s="7" t="s">
        <v>274</v>
      </c>
      <c r="F39" s="8" t="s">
        <v>166</v>
      </c>
      <c r="G39" s="8" t="s">
        <v>137</v>
      </c>
      <c r="H39" s="8">
        <v>4.0</v>
      </c>
      <c r="I39" s="8">
        <v>1.0</v>
      </c>
      <c r="J39" s="7" t="s">
        <v>48</v>
      </c>
      <c r="K39" s="9" t="s">
        <v>275</v>
      </c>
      <c r="L39" s="7" t="s">
        <v>49</v>
      </c>
      <c r="M39" s="9" t="s">
        <v>276</v>
      </c>
      <c r="N39" s="9" t="s">
        <v>275</v>
      </c>
      <c r="O39" s="10">
        <v>125.0</v>
      </c>
      <c r="P39" s="10">
        <v>5.0</v>
      </c>
      <c r="Q39" s="10">
        <v>0.0</v>
      </c>
      <c r="R39" s="10">
        <v>0.0</v>
      </c>
      <c r="S39" s="11">
        <f t="shared" si="14"/>
        <v>25</v>
      </c>
      <c r="T39" s="12" t="s">
        <v>68</v>
      </c>
      <c r="U39" s="12" t="s">
        <v>53</v>
      </c>
      <c r="V39" s="12" t="s">
        <v>53</v>
      </c>
      <c r="W39" s="12" t="s">
        <v>53</v>
      </c>
      <c r="X39" s="12" t="s">
        <v>53</v>
      </c>
      <c r="Y39" s="10">
        <v>7.0</v>
      </c>
      <c r="Z39" s="10">
        <v>0.0</v>
      </c>
      <c r="AA39" s="10">
        <v>1.0</v>
      </c>
      <c r="AB39" s="13">
        <v>0.0</v>
      </c>
      <c r="AC39" s="14">
        <v>121.0</v>
      </c>
      <c r="AD39" s="10">
        <v>6.0</v>
      </c>
      <c r="AE39" s="10">
        <v>1.0</v>
      </c>
      <c r="AF39" s="10">
        <v>0.0</v>
      </c>
      <c r="AG39" s="11">
        <f t="shared" si="15"/>
        <v>20.16666667</v>
      </c>
      <c r="AH39" s="10">
        <v>7.0</v>
      </c>
      <c r="AI39" s="10">
        <v>6.0</v>
      </c>
      <c r="AJ39" s="10">
        <v>0.0</v>
      </c>
      <c r="AK39" s="10">
        <v>0.0</v>
      </c>
      <c r="AL39" s="10">
        <v>2.0</v>
      </c>
      <c r="AM39" s="10">
        <v>1.0</v>
      </c>
      <c r="AN39" s="10">
        <v>4.0</v>
      </c>
      <c r="AO39" s="10">
        <v>0.0</v>
      </c>
      <c r="AP39" s="10" t="s">
        <v>277</v>
      </c>
    </row>
    <row r="40" ht="15.75" customHeight="1">
      <c r="A40" s="6" t="s">
        <v>278</v>
      </c>
      <c r="B40" s="7" t="s">
        <v>258</v>
      </c>
      <c r="C40" s="7">
        <v>33.0</v>
      </c>
      <c r="D40" s="7" t="s">
        <v>279</v>
      </c>
      <c r="E40" s="7" t="s">
        <v>45</v>
      </c>
      <c r="F40" s="8" t="s">
        <v>220</v>
      </c>
      <c r="G40" s="8" t="s">
        <v>62</v>
      </c>
      <c r="H40" s="8">
        <v>2.0</v>
      </c>
      <c r="I40" s="8">
        <v>1.0</v>
      </c>
      <c r="J40" s="9" t="s">
        <v>280</v>
      </c>
      <c r="K40" s="9" t="s">
        <v>281</v>
      </c>
      <c r="L40" s="7" t="s">
        <v>49</v>
      </c>
      <c r="M40" s="9" t="s">
        <v>280</v>
      </c>
      <c r="N40" s="9" t="s">
        <v>281</v>
      </c>
      <c r="O40" s="10">
        <v>121.0</v>
      </c>
      <c r="P40" s="10">
        <v>9.0</v>
      </c>
      <c r="Q40" s="10">
        <v>3.0</v>
      </c>
      <c r="R40" s="10">
        <v>3.0</v>
      </c>
      <c r="S40" s="11">
        <f t="shared" si="14"/>
        <v>12.44444444</v>
      </c>
      <c r="T40" s="12" t="s">
        <v>245</v>
      </c>
      <c r="U40" s="12" t="s">
        <v>206</v>
      </c>
      <c r="V40" s="12" t="s">
        <v>53</v>
      </c>
      <c r="W40" s="12" t="s">
        <v>55</v>
      </c>
      <c r="X40" s="12" t="s">
        <v>67</v>
      </c>
      <c r="Y40" s="10">
        <v>2.0</v>
      </c>
      <c r="Z40" s="10">
        <v>1.0</v>
      </c>
      <c r="AA40" s="10">
        <v>0.0</v>
      </c>
      <c r="AB40" s="13">
        <v>0.0</v>
      </c>
      <c r="AC40" s="14">
        <v>119.0</v>
      </c>
      <c r="AD40" s="10">
        <v>9.0</v>
      </c>
      <c r="AE40" s="10">
        <v>4.0</v>
      </c>
      <c r="AF40" s="10">
        <v>2.0</v>
      </c>
      <c r="AG40" s="11">
        <f t="shared" si="15"/>
        <v>13.22222222</v>
      </c>
      <c r="AH40" s="10">
        <v>3.0</v>
      </c>
      <c r="AI40" s="10">
        <v>7.0</v>
      </c>
      <c r="AJ40" s="10">
        <v>16.0</v>
      </c>
      <c r="AK40" s="10">
        <v>5.0</v>
      </c>
      <c r="AL40" s="10">
        <v>1.0</v>
      </c>
      <c r="AM40" s="10">
        <v>9.0</v>
      </c>
      <c r="AN40" s="10">
        <v>2.0</v>
      </c>
      <c r="AO40" s="10">
        <v>9.0</v>
      </c>
      <c r="AP40" s="10" t="s">
        <v>282</v>
      </c>
    </row>
    <row r="41" ht="15.75" customHeight="1">
      <c r="A41" s="6" t="s">
        <v>283</v>
      </c>
      <c r="B41" s="15" t="s">
        <v>284</v>
      </c>
      <c r="C41" s="15">
        <v>33.0</v>
      </c>
      <c r="D41" s="15" t="s">
        <v>285</v>
      </c>
      <c r="E41" s="15" t="s">
        <v>75</v>
      </c>
      <c r="F41" s="15"/>
      <c r="G41" s="15"/>
      <c r="H41" s="15"/>
      <c r="I41" s="15"/>
      <c r="J41" s="15" t="s">
        <v>48</v>
      </c>
      <c r="K41" s="15" t="s">
        <v>48</v>
      </c>
      <c r="L41" s="15" t="s">
        <v>77</v>
      </c>
      <c r="M41" s="17"/>
      <c r="N41" s="17"/>
      <c r="O41" s="17"/>
      <c r="P41" s="17"/>
      <c r="Q41" s="17"/>
      <c r="R41" s="17"/>
      <c r="S41" s="19"/>
      <c r="T41" s="19"/>
      <c r="U41" s="19"/>
      <c r="V41" s="35"/>
      <c r="W41" s="19"/>
      <c r="X41" s="19"/>
      <c r="Y41" s="17"/>
      <c r="Z41" s="17"/>
      <c r="AA41" s="17"/>
      <c r="AB41" s="20"/>
      <c r="AC41" s="21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22"/>
      <c r="AO41" s="17"/>
    </row>
    <row r="42" ht="15.75" customHeight="1">
      <c r="A42" s="6" t="s">
        <v>286</v>
      </c>
      <c r="B42" s="7" t="s">
        <v>287</v>
      </c>
      <c r="C42" s="7">
        <v>34.0</v>
      </c>
      <c r="D42" s="7" t="s">
        <v>288</v>
      </c>
      <c r="E42" s="7" t="s">
        <v>143</v>
      </c>
      <c r="F42" s="8" t="s">
        <v>63</v>
      </c>
      <c r="G42" s="8" t="s">
        <v>98</v>
      </c>
      <c r="H42" s="8">
        <v>3.0</v>
      </c>
      <c r="I42" s="8">
        <v>0.0</v>
      </c>
      <c r="J42" s="9" t="s">
        <v>289</v>
      </c>
      <c r="K42" s="9" t="s">
        <v>290</v>
      </c>
      <c r="L42" s="7" t="s">
        <v>49</v>
      </c>
      <c r="M42" s="9" t="s">
        <v>289</v>
      </c>
      <c r="N42" s="9" t="s">
        <v>290</v>
      </c>
      <c r="O42" s="10">
        <v>149.0</v>
      </c>
      <c r="P42" s="10">
        <v>9.0</v>
      </c>
      <c r="Q42" s="10">
        <v>6.0</v>
      </c>
      <c r="R42" s="10">
        <v>0.0</v>
      </c>
      <c r="S42" s="11">
        <f>(O42 - U42) / P42</f>
        <v>16.55555556</v>
      </c>
      <c r="T42" s="12" t="s">
        <v>291</v>
      </c>
      <c r="U42" s="12" t="s">
        <v>53</v>
      </c>
      <c r="V42" s="12" t="s">
        <v>69</v>
      </c>
      <c r="W42" s="12" t="s">
        <v>53</v>
      </c>
      <c r="X42" s="12" t="s">
        <v>53</v>
      </c>
      <c r="Y42" s="10">
        <v>7.0</v>
      </c>
      <c r="Z42" s="10">
        <v>0.0</v>
      </c>
      <c r="AA42" s="12" t="s">
        <v>69</v>
      </c>
      <c r="AB42" s="13">
        <v>0.0</v>
      </c>
      <c r="AC42" s="14">
        <v>113.0</v>
      </c>
      <c r="AD42" s="10">
        <v>3.0</v>
      </c>
      <c r="AE42" s="10">
        <v>0.0</v>
      </c>
      <c r="AF42" s="10">
        <v>0.0</v>
      </c>
      <c r="AG42" s="11">
        <f>AC42/AD42</f>
        <v>37.66666667</v>
      </c>
      <c r="AH42" s="12" t="s">
        <v>69</v>
      </c>
      <c r="AI42" s="10">
        <v>6.0</v>
      </c>
      <c r="AJ42" s="10">
        <v>0.0</v>
      </c>
      <c r="AK42" s="10">
        <v>0.0</v>
      </c>
      <c r="AL42" s="12" t="s">
        <v>69</v>
      </c>
      <c r="AM42" s="10">
        <v>0.0</v>
      </c>
      <c r="AN42" s="10">
        <v>7.0</v>
      </c>
      <c r="AO42" s="10">
        <v>0.0</v>
      </c>
    </row>
    <row r="43" ht="15.75" customHeight="1">
      <c r="A43" s="6" t="s">
        <v>292</v>
      </c>
      <c r="B43" s="15" t="s">
        <v>293</v>
      </c>
      <c r="C43" s="15">
        <v>34.0</v>
      </c>
      <c r="D43" s="15" t="s">
        <v>294</v>
      </c>
      <c r="E43" s="15" t="s">
        <v>122</v>
      </c>
      <c r="F43" s="15"/>
      <c r="G43" s="15"/>
      <c r="H43" s="15"/>
      <c r="I43" s="15"/>
      <c r="J43" s="15" t="s">
        <v>48</v>
      </c>
      <c r="K43" s="15" t="s">
        <v>48</v>
      </c>
      <c r="L43" s="15" t="s">
        <v>77</v>
      </c>
      <c r="M43" s="17"/>
      <c r="N43" s="17"/>
      <c r="O43" s="17"/>
      <c r="P43" s="17"/>
      <c r="Q43" s="17"/>
      <c r="R43" s="17"/>
      <c r="S43" s="19"/>
      <c r="T43" s="19"/>
      <c r="U43" s="19"/>
      <c r="V43" s="19"/>
      <c r="W43" s="19"/>
      <c r="X43" s="19"/>
      <c r="Y43" s="17"/>
      <c r="Z43" s="17"/>
      <c r="AA43" s="17"/>
      <c r="AB43" s="20"/>
      <c r="AC43" s="21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22"/>
      <c r="AO43" s="17"/>
    </row>
    <row r="44" ht="15.75" customHeight="1">
      <c r="A44" s="6" t="s">
        <v>295</v>
      </c>
      <c r="B44" s="7" t="s">
        <v>293</v>
      </c>
      <c r="C44" s="7">
        <v>34.0</v>
      </c>
      <c r="D44" s="7" t="s">
        <v>296</v>
      </c>
      <c r="E44" s="7" t="s">
        <v>61</v>
      </c>
      <c r="F44" s="8" t="s">
        <v>220</v>
      </c>
      <c r="G44" s="8" t="s">
        <v>137</v>
      </c>
      <c r="H44" s="8">
        <v>1.0</v>
      </c>
      <c r="I44" s="8">
        <v>0.0</v>
      </c>
      <c r="J44" s="9" t="s">
        <v>297</v>
      </c>
      <c r="K44" s="9" t="s">
        <v>298</v>
      </c>
      <c r="L44" s="7" t="s">
        <v>64</v>
      </c>
      <c r="M44" s="9" t="s">
        <v>298</v>
      </c>
      <c r="N44" s="9" t="s">
        <v>297</v>
      </c>
      <c r="O44" s="10">
        <v>117.0</v>
      </c>
      <c r="P44" s="10">
        <v>8.0</v>
      </c>
      <c r="Q44" s="10">
        <v>5.0</v>
      </c>
      <c r="R44" s="10">
        <v>2.0</v>
      </c>
      <c r="S44" s="11">
        <f t="shared" ref="S44:S51" si="16">(O44 - U44) / P44</f>
        <v>12.5</v>
      </c>
      <c r="T44" s="12" t="s">
        <v>217</v>
      </c>
      <c r="U44" s="12" t="s">
        <v>184</v>
      </c>
      <c r="V44" s="12" t="s">
        <v>69</v>
      </c>
      <c r="W44" s="12" t="s">
        <v>207</v>
      </c>
      <c r="X44" s="12" t="s">
        <v>56</v>
      </c>
      <c r="Y44" s="10">
        <v>1.0</v>
      </c>
      <c r="Z44" s="10">
        <v>0.0</v>
      </c>
      <c r="AA44" s="12" t="s">
        <v>69</v>
      </c>
      <c r="AB44" s="13">
        <v>0.0</v>
      </c>
      <c r="AC44" s="14">
        <v>122.0</v>
      </c>
      <c r="AD44" s="10">
        <v>9.0</v>
      </c>
      <c r="AE44" s="10">
        <v>3.0</v>
      </c>
      <c r="AF44" s="10">
        <v>5.0</v>
      </c>
      <c r="AG44" s="11">
        <f t="shared" ref="AG44:AG51" si="17">AC44/AD44</f>
        <v>13.55555556</v>
      </c>
      <c r="AH44" s="12" t="s">
        <v>69</v>
      </c>
      <c r="AI44" s="10">
        <v>0.0</v>
      </c>
      <c r="AJ44" s="10">
        <v>0.0</v>
      </c>
      <c r="AK44" s="10">
        <v>0.0</v>
      </c>
      <c r="AL44" s="12" t="s">
        <v>69</v>
      </c>
      <c r="AM44" s="10">
        <v>7.0</v>
      </c>
      <c r="AN44" s="10">
        <v>1.0</v>
      </c>
      <c r="AO44" s="10">
        <v>1.0</v>
      </c>
      <c r="AP44" s="10" t="s">
        <v>299</v>
      </c>
    </row>
    <row r="45" ht="15.75" customHeight="1">
      <c r="A45" s="6" t="s">
        <v>300</v>
      </c>
      <c r="B45" s="7" t="s">
        <v>301</v>
      </c>
      <c r="C45" s="7">
        <v>34.0</v>
      </c>
      <c r="D45" s="7" t="s">
        <v>302</v>
      </c>
      <c r="E45" s="7" t="s">
        <v>303</v>
      </c>
      <c r="F45" s="8" t="s">
        <v>166</v>
      </c>
      <c r="G45" s="8" t="s">
        <v>81</v>
      </c>
      <c r="H45" s="8">
        <v>5.0</v>
      </c>
      <c r="I45" s="8">
        <v>0.0</v>
      </c>
      <c r="J45" s="9" t="s">
        <v>304</v>
      </c>
      <c r="K45" s="7" t="s">
        <v>48</v>
      </c>
      <c r="L45" s="7" t="s">
        <v>64</v>
      </c>
      <c r="M45" s="9" t="s">
        <v>305</v>
      </c>
      <c r="N45" s="9" t="s">
        <v>304</v>
      </c>
      <c r="O45" s="10">
        <v>180.0</v>
      </c>
      <c r="P45" s="10">
        <v>5.0</v>
      </c>
      <c r="Q45" s="10">
        <v>0.0</v>
      </c>
      <c r="R45" s="10">
        <v>0.0</v>
      </c>
      <c r="S45" s="11">
        <f t="shared" si="16"/>
        <v>24</v>
      </c>
      <c r="T45" s="12" t="s">
        <v>264</v>
      </c>
      <c r="U45" s="12" t="s">
        <v>306</v>
      </c>
      <c r="V45" s="12" t="s">
        <v>69</v>
      </c>
      <c r="W45" s="12" t="s">
        <v>53</v>
      </c>
      <c r="X45" s="12" t="s">
        <v>53</v>
      </c>
      <c r="Y45" s="10">
        <v>9.0</v>
      </c>
      <c r="Z45" s="10">
        <v>0.0</v>
      </c>
      <c r="AA45" s="12" t="s">
        <v>69</v>
      </c>
      <c r="AB45" s="13">
        <v>0.0</v>
      </c>
      <c r="AC45" s="14">
        <v>170.0</v>
      </c>
      <c r="AD45" s="10">
        <v>9.0</v>
      </c>
      <c r="AE45" s="10">
        <v>4.0</v>
      </c>
      <c r="AF45" s="10">
        <v>0.0</v>
      </c>
      <c r="AG45" s="11">
        <f t="shared" si="17"/>
        <v>18.88888889</v>
      </c>
      <c r="AH45" s="10">
        <v>2.0</v>
      </c>
      <c r="AI45" s="10">
        <v>8.0</v>
      </c>
      <c r="AJ45" s="10">
        <v>3.0</v>
      </c>
      <c r="AK45" s="10">
        <v>1.0</v>
      </c>
      <c r="AL45" s="12" t="s">
        <v>69</v>
      </c>
      <c r="AM45" s="10">
        <v>4.0</v>
      </c>
      <c r="AN45" s="10">
        <v>2.0</v>
      </c>
      <c r="AO45" s="10">
        <v>0.0</v>
      </c>
      <c r="AP45" s="10" t="s">
        <v>307</v>
      </c>
    </row>
    <row r="46" ht="15.75" customHeight="1">
      <c r="A46" s="6" t="s">
        <v>308</v>
      </c>
      <c r="B46" s="7" t="s">
        <v>309</v>
      </c>
      <c r="C46" s="7">
        <v>34.0</v>
      </c>
      <c r="D46" s="7" t="s">
        <v>310</v>
      </c>
      <c r="E46" s="7" t="s">
        <v>214</v>
      </c>
      <c r="F46" s="8" t="s">
        <v>136</v>
      </c>
      <c r="G46" s="8" t="s">
        <v>111</v>
      </c>
      <c r="H46" s="8">
        <v>1.0</v>
      </c>
      <c r="I46" s="8">
        <v>0.0</v>
      </c>
      <c r="J46" s="7" t="s">
        <v>48</v>
      </c>
      <c r="K46" s="9" t="s">
        <v>311</v>
      </c>
      <c r="L46" s="7" t="s">
        <v>49</v>
      </c>
      <c r="M46" s="9" t="s">
        <v>312</v>
      </c>
      <c r="N46" s="9" t="s">
        <v>311</v>
      </c>
      <c r="O46" s="10">
        <v>134.0</v>
      </c>
      <c r="P46" s="10">
        <v>8.0</v>
      </c>
      <c r="Q46" s="10">
        <v>3.0</v>
      </c>
      <c r="R46" s="10">
        <v>4.0</v>
      </c>
      <c r="S46" s="11">
        <f t="shared" si="16"/>
        <v>16.75</v>
      </c>
      <c r="T46" s="12" t="s">
        <v>140</v>
      </c>
      <c r="U46" s="12" t="s">
        <v>53</v>
      </c>
      <c r="V46" s="12" t="s">
        <v>69</v>
      </c>
      <c r="W46" s="12" t="s">
        <v>54</v>
      </c>
      <c r="X46" s="12" t="s">
        <v>68</v>
      </c>
      <c r="Y46" s="10">
        <v>2.0</v>
      </c>
      <c r="Z46" s="10">
        <v>3.0</v>
      </c>
      <c r="AA46" s="12" t="s">
        <v>69</v>
      </c>
      <c r="AB46" s="13">
        <v>0.0</v>
      </c>
      <c r="AC46" s="14">
        <v>178.0</v>
      </c>
      <c r="AD46" s="10">
        <v>6.0</v>
      </c>
      <c r="AE46" s="10">
        <v>4.0</v>
      </c>
      <c r="AF46" s="10">
        <v>1.0</v>
      </c>
      <c r="AG46" s="11">
        <f t="shared" si="17"/>
        <v>29.66666667</v>
      </c>
      <c r="AH46" s="12" t="s">
        <v>69</v>
      </c>
      <c r="AI46" s="10">
        <v>8.0</v>
      </c>
      <c r="AJ46" s="10">
        <v>21.0</v>
      </c>
      <c r="AK46" s="10">
        <v>2.0</v>
      </c>
      <c r="AL46" s="12" t="s">
        <v>69</v>
      </c>
      <c r="AM46" s="10">
        <v>8.0</v>
      </c>
      <c r="AN46" s="10">
        <v>2.0</v>
      </c>
      <c r="AO46" s="10">
        <v>3.0</v>
      </c>
      <c r="AP46" s="10" t="s">
        <v>313</v>
      </c>
    </row>
    <row r="47" ht="15.75" customHeight="1">
      <c r="A47" s="6" t="s">
        <v>314</v>
      </c>
      <c r="B47" s="7" t="s">
        <v>309</v>
      </c>
      <c r="C47" s="7">
        <v>34.0</v>
      </c>
      <c r="D47" s="7" t="s">
        <v>315</v>
      </c>
      <c r="E47" s="7" t="s">
        <v>109</v>
      </c>
      <c r="F47" s="8" t="s">
        <v>47</v>
      </c>
      <c r="G47" s="8" t="s">
        <v>203</v>
      </c>
      <c r="H47" s="8">
        <v>3.0</v>
      </c>
      <c r="I47" s="8">
        <v>1.0</v>
      </c>
      <c r="J47" s="9" t="s">
        <v>316</v>
      </c>
      <c r="K47" s="7" t="s">
        <v>48</v>
      </c>
      <c r="L47" s="7" t="s">
        <v>49</v>
      </c>
      <c r="M47" s="9" t="s">
        <v>316</v>
      </c>
      <c r="N47" s="9" t="s">
        <v>317</v>
      </c>
      <c r="O47" s="10">
        <v>120.0</v>
      </c>
      <c r="P47" s="10">
        <v>5.0</v>
      </c>
      <c r="Q47" s="10">
        <v>0.0</v>
      </c>
      <c r="R47" s="10">
        <v>1.0</v>
      </c>
      <c r="S47" s="11">
        <f t="shared" si="16"/>
        <v>24</v>
      </c>
      <c r="T47" s="12" t="s">
        <v>68</v>
      </c>
      <c r="U47" s="12" t="s">
        <v>53</v>
      </c>
      <c r="V47" s="12" t="s">
        <v>53</v>
      </c>
      <c r="W47" s="12" t="s">
        <v>245</v>
      </c>
      <c r="X47" s="12" t="s">
        <v>53</v>
      </c>
      <c r="Y47" s="10">
        <v>3.0</v>
      </c>
      <c r="Z47" s="10">
        <v>0.0</v>
      </c>
      <c r="AA47" s="10">
        <v>0.0</v>
      </c>
      <c r="AB47" s="13">
        <v>0.0</v>
      </c>
      <c r="AC47" s="10">
        <v>136.0</v>
      </c>
      <c r="AD47" s="10">
        <v>6.0</v>
      </c>
      <c r="AE47" s="10">
        <v>1.0</v>
      </c>
      <c r="AF47" s="10">
        <v>1.0</v>
      </c>
      <c r="AG47" s="11">
        <f t="shared" si="17"/>
        <v>22.66666667</v>
      </c>
      <c r="AH47" s="10">
        <v>0.0</v>
      </c>
      <c r="AI47" s="10">
        <v>0.0</v>
      </c>
      <c r="AJ47" s="10">
        <v>5.0</v>
      </c>
      <c r="AK47" s="10">
        <v>3.0</v>
      </c>
      <c r="AL47" s="10">
        <v>1.0</v>
      </c>
      <c r="AM47" s="10">
        <v>1.0</v>
      </c>
      <c r="AN47" s="10">
        <v>3.0</v>
      </c>
      <c r="AO47" s="10">
        <v>0.0</v>
      </c>
      <c r="AP47" s="10" t="s">
        <v>318</v>
      </c>
    </row>
    <row r="48" ht="15.75" customHeight="1">
      <c r="A48" s="6" t="s">
        <v>319</v>
      </c>
      <c r="B48" s="7" t="s">
        <v>309</v>
      </c>
      <c r="C48" s="7">
        <v>34.0</v>
      </c>
      <c r="D48" s="7" t="s">
        <v>320</v>
      </c>
      <c r="E48" s="7" t="s">
        <v>45</v>
      </c>
      <c r="F48" s="8" t="s">
        <v>159</v>
      </c>
      <c r="G48" s="8" t="s">
        <v>91</v>
      </c>
      <c r="H48" s="8">
        <v>2.0</v>
      </c>
      <c r="I48" s="8">
        <v>1.0</v>
      </c>
      <c r="J48" s="7" t="s">
        <v>48</v>
      </c>
      <c r="K48" s="9" t="s">
        <v>321</v>
      </c>
      <c r="L48" s="7" t="s">
        <v>49</v>
      </c>
      <c r="M48" s="9" t="s">
        <v>322</v>
      </c>
      <c r="N48" s="9" t="s">
        <v>321</v>
      </c>
      <c r="O48" s="10">
        <v>122.0</v>
      </c>
      <c r="P48" s="10">
        <v>4.0</v>
      </c>
      <c r="Q48" s="10">
        <v>1.0</v>
      </c>
      <c r="R48" s="10">
        <v>0.0</v>
      </c>
      <c r="S48" s="11">
        <f t="shared" si="16"/>
        <v>30.5</v>
      </c>
      <c r="T48" s="12" t="s">
        <v>323</v>
      </c>
      <c r="U48" s="12" t="s">
        <v>53</v>
      </c>
      <c r="V48" s="12" t="s">
        <v>217</v>
      </c>
      <c r="W48" s="12" t="s">
        <v>56</v>
      </c>
      <c r="X48" s="12" t="s">
        <v>53</v>
      </c>
      <c r="Y48" s="10">
        <v>3.0</v>
      </c>
      <c r="Z48" s="10">
        <v>1.0</v>
      </c>
      <c r="AA48" s="10">
        <v>1.0</v>
      </c>
      <c r="AB48" s="13">
        <v>0.0</v>
      </c>
      <c r="AC48" s="14">
        <v>165.0</v>
      </c>
      <c r="AD48" s="10">
        <v>8.0</v>
      </c>
      <c r="AE48" s="10">
        <v>5.0</v>
      </c>
      <c r="AF48" s="10">
        <v>0.0</v>
      </c>
      <c r="AG48" s="11">
        <f t="shared" si="17"/>
        <v>20.625</v>
      </c>
      <c r="AH48" s="10">
        <v>6.0</v>
      </c>
      <c r="AI48" s="10">
        <v>1.0</v>
      </c>
      <c r="AJ48" s="10">
        <v>2.0</v>
      </c>
      <c r="AK48" s="10">
        <v>0.0</v>
      </c>
      <c r="AL48" s="10">
        <v>1.0</v>
      </c>
      <c r="AM48" s="10">
        <v>5.0</v>
      </c>
      <c r="AN48" s="10">
        <v>0.0</v>
      </c>
      <c r="AO48" s="10">
        <v>0.0</v>
      </c>
      <c r="AP48" s="10" t="s">
        <v>324</v>
      </c>
    </row>
    <row r="49" ht="15.75" customHeight="1">
      <c r="A49" s="6" t="s">
        <v>325</v>
      </c>
      <c r="B49" s="7" t="s">
        <v>309</v>
      </c>
      <c r="C49" s="7">
        <v>34.0</v>
      </c>
      <c r="D49" s="7" t="s">
        <v>326</v>
      </c>
      <c r="E49" s="7" t="s">
        <v>61</v>
      </c>
      <c r="F49" s="8" t="s">
        <v>167</v>
      </c>
      <c r="G49" s="8" t="s">
        <v>46</v>
      </c>
      <c r="H49" s="8">
        <v>1.0</v>
      </c>
      <c r="I49" s="8">
        <v>0.0</v>
      </c>
      <c r="J49" s="7" t="s">
        <v>48</v>
      </c>
      <c r="K49" s="9" t="s">
        <v>327</v>
      </c>
      <c r="L49" s="7" t="s">
        <v>64</v>
      </c>
      <c r="M49" s="9" t="s">
        <v>327</v>
      </c>
      <c r="N49" s="9" t="s">
        <v>328</v>
      </c>
      <c r="O49" s="10">
        <v>120.0</v>
      </c>
      <c r="P49" s="10">
        <v>8.0</v>
      </c>
      <c r="Q49" s="10">
        <v>4.0</v>
      </c>
      <c r="R49" s="10">
        <v>3.0</v>
      </c>
      <c r="S49" s="11">
        <f t="shared" si="16"/>
        <v>15</v>
      </c>
      <c r="T49" s="12" t="s">
        <v>132</v>
      </c>
      <c r="U49" s="12" t="s">
        <v>53</v>
      </c>
      <c r="V49" s="12" t="s">
        <v>53</v>
      </c>
      <c r="W49" s="12" t="s">
        <v>67</v>
      </c>
      <c r="X49" s="12" t="s">
        <v>55</v>
      </c>
      <c r="Y49" s="10">
        <v>1.0</v>
      </c>
      <c r="Z49" s="10">
        <v>1.0</v>
      </c>
      <c r="AA49" s="12" t="s">
        <v>69</v>
      </c>
      <c r="AB49" s="13">
        <v>0.0</v>
      </c>
      <c r="AC49" s="14">
        <v>138.0</v>
      </c>
      <c r="AD49" s="10">
        <v>14.0</v>
      </c>
      <c r="AE49" s="10">
        <v>6.0</v>
      </c>
      <c r="AF49" s="10">
        <v>7.0</v>
      </c>
      <c r="AG49" s="11">
        <f t="shared" si="17"/>
        <v>9.857142857</v>
      </c>
      <c r="AH49" s="12" t="s">
        <v>69</v>
      </c>
      <c r="AI49" s="10">
        <v>2.0</v>
      </c>
      <c r="AJ49" s="10">
        <v>5.0</v>
      </c>
      <c r="AK49" s="10">
        <v>1.0</v>
      </c>
      <c r="AL49" s="12" t="s">
        <v>69</v>
      </c>
      <c r="AM49" s="10">
        <v>0.0</v>
      </c>
      <c r="AN49" s="10">
        <v>0.0</v>
      </c>
      <c r="AO49" s="10">
        <v>0.0</v>
      </c>
      <c r="AP49" s="10" t="s">
        <v>329</v>
      </c>
    </row>
    <row r="50" ht="15.75" customHeight="1">
      <c r="A50" s="6" t="s">
        <v>330</v>
      </c>
      <c r="B50" s="7" t="s">
        <v>309</v>
      </c>
      <c r="C50" s="7">
        <v>34.0</v>
      </c>
      <c r="D50" s="7" t="s">
        <v>331</v>
      </c>
      <c r="E50" s="7" t="s">
        <v>214</v>
      </c>
      <c r="F50" s="8" t="s">
        <v>62</v>
      </c>
      <c r="G50" s="8" t="s">
        <v>97</v>
      </c>
      <c r="H50" s="8">
        <v>1.0</v>
      </c>
      <c r="I50" s="8">
        <v>0.0</v>
      </c>
      <c r="J50" s="9" t="s">
        <v>332</v>
      </c>
      <c r="K50" s="9" t="s">
        <v>333</v>
      </c>
      <c r="L50" s="7" t="s">
        <v>49</v>
      </c>
      <c r="M50" s="9" t="s">
        <v>332</v>
      </c>
      <c r="N50" s="7" t="s">
        <v>48</v>
      </c>
      <c r="O50" s="10">
        <v>120.0</v>
      </c>
      <c r="P50" s="10">
        <v>6.0</v>
      </c>
      <c r="Q50" s="10">
        <v>3.0</v>
      </c>
      <c r="R50" s="10">
        <v>2.0</v>
      </c>
      <c r="S50" s="11">
        <f t="shared" si="16"/>
        <v>20</v>
      </c>
      <c r="T50" s="12" t="s">
        <v>245</v>
      </c>
      <c r="U50" s="12" t="s">
        <v>53</v>
      </c>
      <c r="V50" s="12" t="s">
        <v>69</v>
      </c>
      <c r="W50" s="12" t="s">
        <v>54</v>
      </c>
      <c r="X50" s="12" t="s">
        <v>84</v>
      </c>
      <c r="Y50" s="10">
        <v>2.0</v>
      </c>
      <c r="Z50" s="10">
        <v>4.0</v>
      </c>
      <c r="AA50" s="12" t="s">
        <v>69</v>
      </c>
      <c r="AB50" s="13">
        <v>2.0</v>
      </c>
      <c r="AC50" s="21"/>
      <c r="AD50" s="17"/>
      <c r="AE50" s="17"/>
      <c r="AF50" s="17"/>
      <c r="AG50" s="17" t="str">
        <f t="shared" si="17"/>
        <v>#DIV/0!</v>
      </c>
      <c r="AH50" s="17"/>
      <c r="AI50" s="17"/>
      <c r="AJ50" s="17"/>
      <c r="AK50" s="17"/>
      <c r="AL50" s="17"/>
      <c r="AM50" s="17"/>
      <c r="AN50" s="22"/>
      <c r="AO50" s="17"/>
    </row>
    <row r="51" ht="15.75" customHeight="1">
      <c r="A51" s="6" t="s">
        <v>334</v>
      </c>
      <c r="B51" s="7" t="s">
        <v>335</v>
      </c>
      <c r="C51" s="7">
        <v>34.0</v>
      </c>
      <c r="D51" s="7" t="s">
        <v>336</v>
      </c>
      <c r="E51" s="7" t="s">
        <v>45</v>
      </c>
      <c r="F51" s="8" t="s">
        <v>110</v>
      </c>
      <c r="G51" s="8" t="s">
        <v>337</v>
      </c>
      <c r="H51" s="8">
        <v>2.0</v>
      </c>
      <c r="I51" s="8">
        <v>1.0</v>
      </c>
      <c r="J51" s="9" t="s">
        <v>338</v>
      </c>
      <c r="K51" s="9" t="s">
        <v>339</v>
      </c>
      <c r="L51" s="7" t="s">
        <v>49</v>
      </c>
      <c r="M51" s="9" t="s">
        <v>338</v>
      </c>
      <c r="N51" s="9" t="s">
        <v>339</v>
      </c>
      <c r="O51" s="10">
        <v>135.0</v>
      </c>
      <c r="P51" s="10">
        <v>8.0</v>
      </c>
      <c r="Q51" s="10">
        <v>2.0</v>
      </c>
      <c r="R51" s="10">
        <v>3.0</v>
      </c>
      <c r="S51" s="11">
        <f t="shared" si="16"/>
        <v>15.25</v>
      </c>
      <c r="T51" s="12" t="s">
        <v>67</v>
      </c>
      <c r="U51" s="12" t="s">
        <v>291</v>
      </c>
      <c r="V51" s="12" t="s">
        <v>55</v>
      </c>
      <c r="W51" s="12" t="s">
        <v>56</v>
      </c>
      <c r="X51" s="12" t="s">
        <v>55</v>
      </c>
      <c r="Y51" s="10">
        <v>2.0</v>
      </c>
      <c r="Z51" s="10">
        <v>5.0</v>
      </c>
      <c r="AA51" s="10">
        <v>1.0</v>
      </c>
      <c r="AB51" s="13">
        <v>0.0</v>
      </c>
      <c r="AC51" s="14">
        <v>147.0</v>
      </c>
      <c r="AD51" s="10">
        <v>23.0</v>
      </c>
      <c r="AE51" s="10">
        <v>13.0</v>
      </c>
      <c r="AF51" s="10">
        <v>7.0</v>
      </c>
      <c r="AG51" s="11">
        <f t="shared" si="17"/>
        <v>6.391304348</v>
      </c>
      <c r="AH51" s="10">
        <v>0.0</v>
      </c>
      <c r="AI51" s="10">
        <v>0.0</v>
      </c>
      <c r="AJ51" s="10">
        <v>0.0</v>
      </c>
      <c r="AK51" s="10">
        <v>3.0</v>
      </c>
      <c r="AL51" s="10">
        <v>1.0</v>
      </c>
      <c r="AM51" s="10">
        <v>14.0</v>
      </c>
      <c r="AN51" s="10">
        <v>2.0</v>
      </c>
      <c r="AO51" s="10">
        <v>2.0</v>
      </c>
      <c r="AP51" s="10" t="s">
        <v>340</v>
      </c>
    </row>
    <row r="52" ht="15.75" customHeight="1">
      <c r="A52" s="6"/>
      <c r="T52" s="36"/>
      <c r="U52" s="36"/>
      <c r="V52" s="36"/>
      <c r="W52" s="36"/>
      <c r="X52" s="36"/>
      <c r="AB52" s="37"/>
      <c r="AC52" s="38"/>
      <c r="AN52" s="39"/>
    </row>
    <row r="53" ht="15.75" customHeight="1">
      <c r="A53" s="40"/>
      <c r="T53" s="36"/>
      <c r="U53" s="36"/>
      <c r="V53" s="36"/>
      <c r="W53" s="36"/>
      <c r="X53" s="36"/>
      <c r="AB53" s="37"/>
      <c r="AC53" s="38"/>
      <c r="AN53" s="39"/>
    </row>
    <row r="54" ht="15.75" customHeight="1">
      <c r="A54" s="40"/>
      <c r="T54" s="36"/>
      <c r="U54" s="36"/>
      <c r="V54" s="36"/>
      <c r="W54" s="36"/>
      <c r="X54" s="36"/>
      <c r="AB54" s="37"/>
      <c r="AC54" s="38"/>
      <c r="AN54" s="39"/>
    </row>
    <row r="55" ht="15.75" customHeight="1">
      <c r="A55" s="40"/>
      <c r="T55" s="36"/>
      <c r="U55" s="36"/>
      <c r="V55" s="36"/>
      <c r="W55" s="36"/>
      <c r="X55" s="36"/>
      <c r="AB55" s="37"/>
      <c r="AC55" s="38"/>
      <c r="AN55" s="39"/>
    </row>
    <row r="56" ht="15.75" customHeight="1">
      <c r="A56" s="40"/>
      <c r="T56" s="36"/>
      <c r="U56" s="36"/>
      <c r="V56" s="36"/>
      <c r="W56" s="36"/>
      <c r="X56" s="36"/>
      <c r="AB56" s="37"/>
      <c r="AC56" s="38"/>
      <c r="AN56" s="39"/>
    </row>
    <row r="57" ht="15.75" customHeight="1">
      <c r="A57" s="40"/>
      <c r="T57" s="36"/>
      <c r="U57" s="36"/>
      <c r="V57" s="36"/>
      <c r="W57" s="36"/>
      <c r="X57" s="36"/>
      <c r="AB57" s="37"/>
      <c r="AC57" s="38"/>
      <c r="AN57" s="39"/>
    </row>
    <row r="58" ht="15.75" customHeight="1">
      <c r="A58" s="40"/>
      <c r="T58" s="36"/>
      <c r="U58" s="36"/>
      <c r="V58" s="36"/>
      <c r="W58" s="36"/>
      <c r="X58" s="36"/>
      <c r="AB58" s="37"/>
      <c r="AC58" s="38"/>
      <c r="AN58" s="39"/>
    </row>
    <row r="59" ht="15.75" customHeight="1">
      <c r="A59" s="40"/>
      <c r="T59" s="36"/>
      <c r="U59" s="36"/>
      <c r="V59" s="36"/>
      <c r="W59" s="36"/>
      <c r="X59" s="36"/>
      <c r="AB59" s="37"/>
      <c r="AC59" s="38"/>
      <c r="AN59" s="39"/>
    </row>
    <row r="60" ht="15.75" customHeight="1">
      <c r="A60" s="40"/>
      <c r="T60" s="36"/>
      <c r="U60" s="36"/>
      <c r="V60" s="36"/>
      <c r="W60" s="36"/>
      <c r="X60" s="36"/>
      <c r="AB60" s="37"/>
      <c r="AC60" s="38"/>
      <c r="AN60" s="39"/>
    </row>
    <row r="61" ht="15.75" customHeight="1">
      <c r="A61" s="40"/>
      <c r="T61" s="36"/>
      <c r="U61" s="36"/>
      <c r="V61" s="36"/>
      <c r="W61" s="36"/>
      <c r="X61" s="36"/>
      <c r="AB61" s="37"/>
      <c r="AC61" s="38"/>
      <c r="AN61" s="39"/>
    </row>
    <row r="62" ht="15.75" customHeight="1">
      <c r="A62" s="40"/>
      <c r="T62" s="36"/>
      <c r="U62" s="36"/>
      <c r="V62" s="36"/>
      <c r="W62" s="36"/>
      <c r="X62" s="36"/>
      <c r="AB62" s="37"/>
      <c r="AC62" s="38"/>
      <c r="AN62" s="39"/>
    </row>
    <row r="63" ht="15.75" customHeight="1">
      <c r="A63" s="40"/>
      <c r="T63" s="36"/>
      <c r="U63" s="36"/>
      <c r="V63" s="36"/>
      <c r="W63" s="36"/>
      <c r="X63" s="36"/>
      <c r="AB63" s="37"/>
      <c r="AC63" s="38"/>
      <c r="AN63" s="39"/>
    </row>
    <row r="64" ht="15.75" customHeight="1">
      <c r="A64" s="40"/>
      <c r="T64" s="36"/>
      <c r="U64" s="36"/>
      <c r="V64" s="36"/>
      <c r="W64" s="36"/>
      <c r="X64" s="36"/>
      <c r="AB64" s="37"/>
      <c r="AC64" s="38"/>
      <c r="AN64" s="39"/>
    </row>
    <row r="65" ht="15.75" customHeight="1">
      <c r="A65" s="40"/>
      <c r="T65" s="36"/>
      <c r="U65" s="36"/>
      <c r="V65" s="36"/>
      <c r="W65" s="36"/>
      <c r="X65" s="36"/>
      <c r="AB65" s="37"/>
      <c r="AC65" s="38"/>
      <c r="AN65" s="39"/>
    </row>
    <row r="66" ht="15.75" customHeight="1">
      <c r="A66" s="40"/>
      <c r="T66" s="36"/>
      <c r="U66" s="36"/>
      <c r="V66" s="36"/>
      <c r="W66" s="36"/>
      <c r="X66" s="36"/>
      <c r="AB66" s="37"/>
      <c r="AC66" s="38"/>
      <c r="AN66" s="39"/>
    </row>
    <row r="67" ht="15.75" customHeight="1">
      <c r="A67" s="40"/>
      <c r="T67" s="36"/>
      <c r="U67" s="36"/>
      <c r="V67" s="36"/>
      <c r="W67" s="36"/>
      <c r="X67" s="36"/>
      <c r="AB67" s="37"/>
      <c r="AC67" s="38"/>
      <c r="AN67" s="39"/>
    </row>
    <row r="68" ht="15.75" customHeight="1">
      <c r="A68" s="40"/>
      <c r="T68" s="36"/>
      <c r="U68" s="36"/>
      <c r="V68" s="36"/>
      <c r="W68" s="36"/>
      <c r="X68" s="36"/>
      <c r="AB68" s="37"/>
      <c r="AC68" s="38"/>
      <c r="AN68" s="39"/>
    </row>
    <row r="69" ht="15.75" customHeight="1">
      <c r="A69" s="40"/>
      <c r="T69" s="36"/>
      <c r="U69" s="36"/>
      <c r="V69" s="36"/>
      <c r="W69" s="36"/>
      <c r="X69" s="36"/>
      <c r="AB69" s="37"/>
      <c r="AC69" s="38"/>
      <c r="AN69" s="39"/>
    </row>
    <row r="70" ht="15.75" customHeight="1">
      <c r="A70" s="40"/>
      <c r="T70" s="36"/>
      <c r="U70" s="36"/>
      <c r="V70" s="36"/>
      <c r="W70" s="36"/>
      <c r="X70" s="36"/>
      <c r="AB70" s="37"/>
      <c r="AC70" s="38"/>
      <c r="AN70" s="39"/>
    </row>
    <row r="71" ht="15.75" customHeight="1">
      <c r="A71" s="40"/>
      <c r="T71" s="36"/>
      <c r="U71" s="36"/>
      <c r="V71" s="36"/>
      <c r="W71" s="36"/>
      <c r="X71" s="36"/>
      <c r="AB71" s="37"/>
      <c r="AC71" s="38"/>
      <c r="AN71" s="39"/>
    </row>
    <row r="72" ht="15.75" customHeight="1">
      <c r="A72" s="40"/>
      <c r="T72" s="36"/>
      <c r="U72" s="36"/>
      <c r="V72" s="36"/>
      <c r="W72" s="36"/>
      <c r="X72" s="36"/>
      <c r="AB72" s="37"/>
      <c r="AC72" s="38"/>
      <c r="AN72" s="39"/>
    </row>
    <row r="73" ht="15.75" customHeight="1">
      <c r="A73" s="40"/>
      <c r="T73" s="36"/>
      <c r="U73" s="36"/>
      <c r="V73" s="36"/>
      <c r="W73" s="36"/>
      <c r="X73" s="36"/>
      <c r="AB73" s="37"/>
      <c r="AC73" s="38"/>
      <c r="AN73" s="39"/>
    </row>
    <row r="74" ht="15.75" customHeight="1">
      <c r="A74" s="40"/>
      <c r="T74" s="36"/>
      <c r="U74" s="36"/>
      <c r="V74" s="36"/>
      <c r="W74" s="36"/>
      <c r="X74" s="36"/>
      <c r="AB74" s="37"/>
      <c r="AC74" s="38"/>
      <c r="AN74" s="39"/>
    </row>
    <row r="75" ht="15.75" customHeight="1">
      <c r="A75" s="40"/>
      <c r="T75" s="36"/>
      <c r="U75" s="36"/>
      <c r="V75" s="36"/>
      <c r="W75" s="36"/>
      <c r="X75" s="36"/>
      <c r="AB75" s="37"/>
      <c r="AC75" s="38"/>
      <c r="AN75" s="39"/>
    </row>
    <row r="76" ht="15.75" customHeight="1">
      <c r="A76" s="40"/>
      <c r="T76" s="36"/>
      <c r="U76" s="36"/>
      <c r="V76" s="36"/>
      <c r="W76" s="36"/>
      <c r="X76" s="36"/>
      <c r="AB76" s="37"/>
      <c r="AC76" s="38"/>
      <c r="AN76" s="39"/>
    </row>
    <row r="77" ht="15.75" customHeight="1">
      <c r="A77" s="40"/>
      <c r="T77" s="36"/>
      <c r="U77" s="36"/>
      <c r="V77" s="36"/>
      <c r="W77" s="36"/>
      <c r="X77" s="36"/>
      <c r="AB77" s="37"/>
      <c r="AC77" s="38"/>
      <c r="AN77" s="39"/>
    </row>
    <row r="78" ht="15.75" customHeight="1">
      <c r="A78" s="40"/>
      <c r="T78" s="36"/>
      <c r="U78" s="36"/>
      <c r="V78" s="36"/>
      <c r="W78" s="36"/>
      <c r="X78" s="36"/>
      <c r="AB78" s="37"/>
      <c r="AC78" s="38"/>
      <c r="AN78" s="39"/>
    </row>
    <row r="79" ht="15.75" customHeight="1">
      <c r="A79" s="40"/>
      <c r="T79" s="36"/>
      <c r="U79" s="36"/>
      <c r="V79" s="36"/>
      <c r="W79" s="36"/>
      <c r="X79" s="36"/>
      <c r="AB79" s="37"/>
      <c r="AC79" s="38"/>
      <c r="AN79" s="39"/>
    </row>
    <row r="80" ht="15.75" customHeight="1">
      <c r="A80" s="40"/>
      <c r="T80" s="36"/>
      <c r="U80" s="36"/>
      <c r="V80" s="36"/>
      <c r="W80" s="36"/>
      <c r="X80" s="36"/>
      <c r="AB80" s="37"/>
      <c r="AC80" s="38"/>
      <c r="AN80" s="39"/>
    </row>
    <row r="81" ht="15.75" customHeight="1">
      <c r="A81" s="40"/>
      <c r="T81" s="36"/>
      <c r="U81" s="36"/>
      <c r="V81" s="36"/>
      <c r="W81" s="36"/>
      <c r="X81" s="36"/>
      <c r="AB81" s="37"/>
      <c r="AC81" s="38"/>
      <c r="AN81" s="39"/>
    </row>
    <row r="82" ht="15.75" customHeight="1">
      <c r="A82" s="40"/>
      <c r="T82" s="36"/>
      <c r="U82" s="36"/>
      <c r="V82" s="36"/>
      <c r="W82" s="36"/>
      <c r="X82" s="36"/>
      <c r="AB82" s="37"/>
      <c r="AC82" s="38"/>
      <c r="AN82" s="39"/>
    </row>
    <row r="83" ht="15.75" customHeight="1">
      <c r="A83" s="40"/>
      <c r="T83" s="36"/>
      <c r="U83" s="36"/>
      <c r="V83" s="36"/>
      <c r="W83" s="36"/>
      <c r="X83" s="36"/>
      <c r="AB83" s="37"/>
      <c r="AC83" s="38"/>
      <c r="AN83" s="39"/>
    </row>
    <row r="84" ht="15.75" customHeight="1">
      <c r="A84" s="40"/>
      <c r="T84" s="36"/>
      <c r="U84" s="36"/>
      <c r="V84" s="36"/>
      <c r="W84" s="36"/>
      <c r="X84" s="36"/>
      <c r="AB84" s="37"/>
      <c r="AC84" s="38"/>
      <c r="AN84" s="39"/>
    </row>
    <row r="85" ht="15.75" customHeight="1">
      <c r="A85" s="40"/>
      <c r="T85" s="36"/>
      <c r="U85" s="36"/>
      <c r="V85" s="36"/>
      <c r="W85" s="36"/>
      <c r="X85" s="36"/>
      <c r="AB85" s="37"/>
      <c r="AC85" s="38"/>
      <c r="AN85" s="39"/>
    </row>
    <row r="86" ht="15.75" customHeight="1">
      <c r="A86" s="40"/>
      <c r="T86" s="36"/>
      <c r="U86" s="36"/>
      <c r="V86" s="36"/>
      <c r="W86" s="36"/>
      <c r="X86" s="36"/>
      <c r="AB86" s="37"/>
      <c r="AC86" s="38"/>
      <c r="AN86" s="39"/>
    </row>
    <row r="87" ht="15.75" customHeight="1">
      <c r="A87" s="40"/>
      <c r="T87" s="36"/>
      <c r="U87" s="36"/>
      <c r="V87" s="36"/>
      <c r="W87" s="36"/>
      <c r="X87" s="36"/>
      <c r="AB87" s="37"/>
      <c r="AC87" s="38"/>
      <c r="AN87" s="39"/>
    </row>
    <row r="88" ht="15.75" customHeight="1">
      <c r="A88" s="40"/>
      <c r="T88" s="36"/>
      <c r="U88" s="36"/>
      <c r="V88" s="36"/>
      <c r="W88" s="36"/>
      <c r="X88" s="36"/>
      <c r="AB88" s="37"/>
      <c r="AC88" s="38"/>
      <c r="AN88" s="39"/>
    </row>
    <row r="89" ht="15.75" customHeight="1">
      <c r="A89" s="40"/>
      <c r="T89" s="36"/>
      <c r="U89" s="36"/>
      <c r="V89" s="36"/>
      <c r="W89" s="36"/>
      <c r="X89" s="36"/>
      <c r="AB89" s="37"/>
      <c r="AC89" s="38"/>
      <c r="AN89" s="39"/>
    </row>
    <row r="90" ht="15.75" customHeight="1">
      <c r="A90" s="40"/>
      <c r="T90" s="36"/>
      <c r="U90" s="36"/>
      <c r="V90" s="36"/>
      <c r="W90" s="36"/>
      <c r="X90" s="36"/>
      <c r="AB90" s="37"/>
      <c r="AC90" s="38"/>
      <c r="AN90" s="39"/>
    </row>
    <row r="91" ht="15.75" customHeight="1">
      <c r="A91" s="40"/>
      <c r="T91" s="36"/>
      <c r="U91" s="36"/>
      <c r="V91" s="36"/>
      <c r="W91" s="36"/>
      <c r="X91" s="36"/>
      <c r="AB91" s="37"/>
      <c r="AC91" s="38"/>
      <c r="AN91" s="39"/>
    </row>
    <row r="92" ht="15.75" customHeight="1">
      <c r="A92" s="40"/>
      <c r="T92" s="36"/>
      <c r="U92" s="36"/>
      <c r="V92" s="36"/>
      <c r="W92" s="36"/>
      <c r="X92" s="36"/>
      <c r="AB92" s="37"/>
      <c r="AC92" s="38"/>
      <c r="AN92" s="39"/>
    </row>
    <row r="93" ht="15.75" customHeight="1">
      <c r="A93" s="40"/>
      <c r="T93" s="36"/>
      <c r="U93" s="36"/>
      <c r="V93" s="36"/>
      <c r="W93" s="36"/>
      <c r="X93" s="36"/>
      <c r="AB93" s="37"/>
      <c r="AC93" s="38"/>
      <c r="AN93" s="39"/>
    </row>
    <row r="94" ht="15.75" customHeight="1">
      <c r="A94" s="40"/>
      <c r="T94" s="36"/>
      <c r="U94" s="36"/>
      <c r="V94" s="36"/>
      <c r="W94" s="36"/>
      <c r="X94" s="36"/>
      <c r="AB94" s="37"/>
      <c r="AC94" s="38"/>
      <c r="AN94" s="39"/>
    </row>
    <row r="95" ht="15.75" customHeight="1">
      <c r="A95" s="40"/>
      <c r="T95" s="36"/>
      <c r="U95" s="36"/>
      <c r="V95" s="36"/>
      <c r="W95" s="36"/>
      <c r="X95" s="36"/>
      <c r="AB95" s="37"/>
      <c r="AC95" s="38"/>
      <c r="AN95" s="39"/>
    </row>
    <row r="96" ht="15.75" customHeight="1">
      <c r="A96" s="40"/>
      <c r="T96" s="36"/>
      <c r="U96" s="36"/>
      <c r="V96" s="36"/>
      <c r="W96" s="36"/>
      <c r="X96" s="36"/>
      <c r="AB96" s="37"/>
      <c r="AC96" s="38"/>
      <c r="AN96" s="39"/>
    </row>
    <row r="97" ht="15.75" customHeight="1">
      <c r="A97" s="40"/>
      <c r="T97" s="36"/>
      <c r="U97" s="36"/>
      <c r="V97" s="36"/>
      <c r="W97" s="36"/>
      <c r="X97" s="36"/>
      <c r="AB97" s="37"/>
      <c r="AC97" s="38"/>
      <c r="AN97" s="39"/>
    </row>
    <row r="98" ht="15.75" customHeight="1">
      <c r="A98" s="40"/>
      <c r="T98" s="36"/>
      <c r="U98" s="36"/>
      <c r="V98" s="36"/>
      <c r="W98" s="36"/>
      <c r="X98" s="36"/>
      <c r="AB98" s="37"/>
      <c r="AC98" s="38"/>
      <c r="AN98" s="39"/>
    </row>
    <row r="99" ht="15.75" customHeight="1">
      <c r="A99" s="40"/>
      <c r="T99" s="36"/>
      <c r="U99" s="36"/>
      <c r="V99" s="36"/>
      <c r="W99" s="36"/>
      <c r="X99" s="36"/>
      <c r="AB99" s="37"/>
      <c r="AC99" s="38"/>
      <c r="AN99" s="39"/>
    </row>
    <row r="100" ht="15.75" customHeight="1">
      <c r="A100" s="40"/>
      <c r="T100" s="36"/>
      <c r="U100" s="36"/>
      <c r="V100" s="36"/>
      <c r="W100" s="36"/>
      <c r="X100" s="36"/>
      <c r="AB100" s="37"/>
      <c r="AC100" s="38"/>
      <c r="AN100" s="39"/>
    </row>
    <row r="101" ht="15.75" customHeight="1">
      <c r="A101" s="40"/>
      <c r="T101" s="36"/>
      <c r="U101" s="36"/>
      <c r="V101" s="36"/>
      <c r="W101" s="36"/>
      <c r="X101" s="36"/>
      <c r="AB101" s="37"/>
      <c r="AC101" s="38"/>
      <c r="AN101" s="39"/>
    </row>
    <row r="102" ht="15.75" customHeight="1">
      <c r="A102" s="40"/>
      <c r="T102" s="36"/>
      <c r="U102" s="36"/>
      <c r="V102" s="36"/>
      <c r="W102" s="36"/>
      <c r="X102" s="36"/>
      <c r="AB102" s="37"/>
      <c r="AC102" s="38"/>
      <c r="AN102" s="39"/>
    </row>
    <row r="103" ht="15.75" customHeight="1">
      <c r="A103" s="40"/>
      <c r="T103" s="36"/>
      <c r="U103" s="36"/>
      <c r="V103" s="36"/>
      <c r="W103" s="36"/>
      <c r="X103" s="36"/>
      <c r="AB103" s="37"/>
      <c r="AC103" s="38"/>
      <c r="AN103" s="39"/>
    </row>
    <row r="104" ht="15.75" customHeight="1">
      <c r="A104" s="40"/>
      <c r="T104" s="36"/>
      <c r="U104" s="36"/>
      <c r="V104" s="36"/>
      <c r="W104" s="36"/>
      <c r="X104" s="36"/>
      <c r="AB104" s="37"/>
      <c r="AC104" s="38"/>
      <c r="AN104" s="39"/>
    </row>
    <row r="105" ht="15.75" customHeight="1">
      <c r="A105" s="40"/>
      <c r="T105" s="36"/>
      <c r="U105" s="36"/>
      <c r="V105" s="36"/>
      <c r="W105" s="36"/>
      <c r="X105" s="36"/>
      <c r="AB105" s="37"/>
      <c r="AC105" s="38"/>
      <c r="AN105" s="39"/>
    </row>
    <row r="106" ht="15.75" customHeight="1">
      <c r="A106" s="40"/>
      <c r="T106" s="36"/>
      <c r="U106" s="36"/>
      <c r="V106" s="36"/>
      <c r="W106" s="36"/>
      <c r="X106" s="36"/>
      <c r="AB106" s="37"/>
      <c r="AC106" s="38"/>
      <c r="AN106" s="39"/>
    </row>
    <row r="107" ht="15.75" customHeight="1">
      <c r="A107" s="40"/>
      <c r="T107" s="36"/>
      <c r="U107" s="36"/>
      <c r="V107" s="36"/>
      <c r="W107" s="36"/>
      <c r="X107" s="36"/>
      <c r="AB107" s="37"/>
      <c r="AC107" s="38"/>
      <c r="AN107" s="39"/>
    </row>
    <row r="108" ht="15.75" customHeight="1">
      <c r="A108" s="40"/>
      <c r="T108" s="36"/>
      <c r="U108" s="36"/>
      <c r="V108" s="36"/>
      <c r="W108" s="36"/>
      <c r="X108" s="36"/>
      <c r="AB108" s="37"/>
      <c r="AC108" s="38"/>
      <c r="AN108" s="39"/>
    </row>
    <row r="109" ht="15.75" customHeight="1">
      <c r="A109" s="40"/>
      <c r="T109" s="36"/>
      <c r="U109" s="36"/>
      <c r="V109" s="36"/>
      <c r="W109" s="36"/>
      <c r="X109" s="36"/>
      <c r="AB109" s="37"/>
      <c r="AC109" s="38"/>
      <c r="AN109" s="39"/>
    </row>
    <row r="110" ht="15.75" customHeight="1">
      <c r="A110" s="40"/>
      <c r="T110" s="36"/>
      <c r="U110" s="36"/>
      <c r="V110" s="36"/>
      <c r="W110" s="36"/>
      <c r="X110" s="36"/>
      <c r="AB110" s="37"/>
      <c r="AC110" s="38"/>
      <c r="AN110" s="39"/>
    </row>
    <row r="111" ht="15.75" customHeight="1">
      <c r="A111" s="40"/>
      <c r="T111" s="36"/>
      <c r="U111" s="36"/>
      <c r="V111" s="36"/>
      <c r="W111" s="36"/>
      <c r="X111" s="36"/>
      <c r="AB111" s="37"/>
      <c r="AC111" s="38"/>
      <c r="AN111" s="39"/>
    </row>
    <row r="112" ht="15.75" customHeight="1">
      <c r="A112" s="40"/>
      <c r="T112" s="36"/>
      <c r="U112" s="36"/>
      <c r="V112" s="36"/>
      <c r="W112" s="36"/>
      <c r="X112" s="36"/>
      <c r="AB112" s="37"/>
      <c r="AC112" s="38"/>
      <c r="AN112" s="39"/>
    </row>
    <row r="113" ht="15.75" customHeight="1">
      <c r="A113" s="40"/>
      <c r="T113" s="36"/>
      <c r="U113" s="36"/>
      <c r="V113" s="36"/>
      <c r="W113" s="36"/>
      <c r="X113" s="36"/>
      <c r="AB113" s="37"/>
      <c r="AC113" s="38"/>
      <c r="AN113" s="39"/>
    </row>
    <row r="114" ht="15.75" customHeight="1">
      <c r="A114" s="40"/>
      <c r="T114" s="36"/>
      <c r="U114" s="36"/>
      <c r="V114" s="36"/>
      <c r="W114" s="36"/>
      <c r="X114" s="36"/>
      <c r="AB114" s="37"/>
      <c r="AC114" s="38"/>
      <c r="AN114" s="39"/>
    </row>
    <row r="115" ht="15.75" customHeight="1">
      <c r="A115" s="40"/>
      <c r="T115" s="36"/>
      <c r="U115" s="36"/>
      <c r="V115" s="36"/>
      <c r="W115" s="36"/>
      <c r="X115" s="36"/>
      <c r="AB115" s="37"/>
      <c r="AC115" s="38"/>
      <c r="AN115" s="39"/>
    </row>
    <row r="116" ht="15.75" customHeight="1">
      <c r="A116" s="40"/>
      <c r="T116" s="36"/>
      <c r="U116" s="36"/>
      <c r="V116" s="36"/>
      <c r="W116" s="36"/>
      <c r="X116" s="36"/>
      <c r="AB116" s="37"/>
      <c r="AC116" s="38"/>
      <c r="AN116" s="39"/>
    </row>
    <row r="117" ht="15.75" customHeight="1">
      <c r="A117" s="40"/>
      <c r="T117" s="36"/>
      <c r="U117" s="36"/>
      <c r="V117" s="36"/>
      <c r="W117" s="36"/>
      <c r="X117" s="36"/>
      <c r="AB117" s="37"/>
      <c r="AC117" s="38"/>
      <c r="AN117" s="39"/>
    </row>
    <row r="118" ht="15.75" customHeight="1">
      <c r="A118" s="40"/>
      <c r="T118" s="36"/>
      <c r="U118" s="36"/>
      <c r="V118" s="36"/>
      <c r="W118" s="36"/>
      <c r="X118" s="36"/>
      <c r="AB118" s="37"/>
      <c r="AC118" s="38"/>
      <c r="AN118" s="39"/>
    </row>
    <row r="119" ht="15.75" customHeight="1">
      <c r="A119" s="40"/>
      <c r="T119" s="36"/>
      <c r="U119" s="36"/>
      <c r="V119" s="36"/>
      <c r="W119" s="36"/>
      <c r="X119" s="36"/>
      <c r="AB119" s="37"/>
      <c r="AC119" s="38"/>
      <c r="AN119" s="39"/>
    </row>
    <row r="120" ht="15.75" customHeight="1">
      <c r="A120" s="40"/>
      <c r="T120" s="36"/>
      <c r="U120" s="36"/>
      <c r="V120" s="36"/>
      <c r="W120" s="36"/>
      <c r="X120" s="36"/>
      <c r="AB120" s="37"/>
      <c r="AC120" s="38"/>
      <c r="AN120" s="39"/>
    </row>
    <row r="121" ht="15.75" customHeight="1">
      <c r="A121" s="40"/>
      <c r="T121" s="36"/>
      <c r="U121" s="36"/>
      <c r="V121" s="36"/>
      <c r="W121" s="36"/>
      <c r="X121" s="36"/>
      <c r="AB121" s="37"/>
      <c r="AC121" s="38"/>
      <c r="AN121" s="39"/>
    </row>
    <row r="122" ht="15.75" customHeight="1">
      <c r="A122" s="40"/>
      <c r="T122" s="36"/>
      <c r="U122" s="36"/>
      <c r="V122" s="36"/>
      <c r="W122" s="36"/>
      <c r="X122" s="36"/>
      <c r="AB122" s="37"/>
      <c r="AC122" s="38"/>
      <c r="AN122" s="39"/>
    </row>
    <row r="123" ht="15.75" customHeight="1">
      <c r="A123" s="40"/>
      <c r="T123" s="36"/>
      <c r="U123" s="36"/>
      <c r="V123" s="36"/>
      <c r="W123" s="36"/>
      <c r="X123" s="36"/>
      <c r="AB123" s="37"/>
      <c r="AC123" s="38"/>
      <c r="AN123" s="39"/>
    </row>
    <row r="124" ht="15.75" customHeight="1">
      <c r="A124" s="40"/>
      <c r="T124" s="36"/>
      <c r="U124" s="36"/>
      <c r="V124" s="36"/>
      <c r="W124" s="36"/>
      <c r="X124" s="36"/>
      <c r="AB124" s="37"/>
      <c r="AC124" s="38"/>
      <c r="AN124" s="39"/>
    </row>
    <row r="125" ht="15.75" customHeight="1">
      <c r="A125" s="40"/>
      <c r="T125" s="36"/>
      <c r="U125" s="36"/>
      <c r="V125" s="36"/>
      <c r="W125" s="36"/>
      <c r="X125" s="36"/>
      <c r="AB125" s="37"/>
      <c r="AC125" s="38"/>
      <c r="AN125" s="39"/>
    </row>
    <row r="126" ht="15.75" customHeight="1">
      <c r="A126" s="40"/>
      <c r="T126" s="36"/>
      <c r="U126" s="36"/>
      <c r="V126" s="36"/>
      <c r="W126" s="36"/>
      <c r="X126" s="36"/>
      <c r="AB126" s="37"/>
      <c r="AC126" s="38"/>
      <c r="AN126" s="39"/>
    </row>
    <row r="127" ht="15.75" customHeight="1">
      <c r="A127" s="40"/>
      <c r="T127" s="36"/>
      <c r="U127" s="36"/>
      <c r="V127" s="36"/>
      <c r="W127" s="36"/>
      <c r="X127" s="36"/>
      <c r="AB127" s="37"/>
      <c r="AC127" s="38"/>
      <c r="AN127" s="39"/>
    </row>
    <row r="128" ht="15.75" customHeight="1">
      <c r="A128" s="40"/>
      <c r="T128" s="36"/>
      <c r="U128" s="36"/>
      <c r="V128" s="36"/>
      <c r="W128" s="36"/>
      <c r="X128" s="36"/>
      <c r="AB128" s="37"/>
      <c r="AC128" s="38"/>
      <c r="AN128" s="39"/>
    </row>
    <row r="129" ht="15.75" customHeight="1">
      <c r="A129" s="40"/>
      <c r="T129" s="36"/>
      <c r="U129" s="36"/>
      <c r="V129" s="36"/>
      <c r="W129" s="36"/>
      <c r="X129" s="36"/>
      <c r="AB129" s="37"/>
      <c r="AC129" s="38"/>
      <c r="AN129" s="39"/>
    </row>
    <row r="130" ht="15.75" customHeight="1">
      <c r="A130" s="40"/>
      <c r="T130" s="36"/>
      <c r="U130" s="36"/>
      <c r="V130" s="36"/>
      <c r="W130" s="36"/>
      <c r="X130" s="36"/>
      <c r="AB130" s="37"/>
      <c r="AC130" s="38"/>
      <c r="AN130" s="39"/>
    </row>
    <row r="131" ht="15.75" customHeight="1">
      <c r="A131" s="40"/>
      <c r="T131" s="36"/>
      <c r="U131" s="36"/>
      <c r="V131" s="36"/>
      <c r="W131" s="36"/>
      <c r="X131" s="36"/>
      <c r="AB131" s="37"/>
      <c r="AC131" s="38"/>
      <c r="AN131" s="39"/>
    </row>
    <row r="132" ht="15.75" customHeight="1">
      <c r="A132" s="40"/>
      <c r="T132" s="36"/>
      <c r="U132" s="36"/>
      <c r="V132" s="36"/>
      <c r="W132" s="36"/>
      <c r="X132" s="36"/>
      <c r="AB132" s="37"/>
      <c r="AC132" s="38"/>
      <c r="AN132" s="39"/>
    </row>
    <row r="133" ht="15.75" customHeight="1">
      <c r="A133" s="40"/>
      <c r="T133" s="36"/>
      <c r="U133" s="36"/>
      <c r="V133" s="36"/>
      <c r="W133" s="36"/>
      <c r="X133" s="36"/>
      <c r="AB133" s="37"/>
      <c r="AC133" s="38"/>
      <c r="AN133" s="39"/>
    </row>
    <row r="134" ht="15.75" customHeight="1">
      <c r="A134" s="40"/>
      <c r="T134" s="36"/>
      <c r="U134" s="36"/>
      <c r="V134" s="36"/>
      <c r="W134" s="36"/>
      <c r="X134" s="36"/>
      <c r="AB134" s="37"/>
      <c r="AC134" s="38"/>
      <c r="AN134" s="39"/>
    </row>
    <row r="135" ht="15.75" customHeight="1">
      <c r="A135" s="40"/>
      <c r="T135" s="36"/>
      <c r="U135" s="36"/>
      <c r="V135" s="36"/>
      <c r="W135" s="36"/>
      <c r="X135" s="36"/>
      <c r="AB135" s="37"/>
      <c r="AC135" s="38"/>
      <c r="AN135" s="39"/>
    </row>
    <row r="136" ht="15.75" customHeight="1">
      <c r="A136" s="40"/>
      <c r="T136" s="36"/>
      <c r="U136" s="36"/>
      <c r="V136" s="36"/>
      <c r="W136" s="36"/>
      <c r="X136" s="36"/>
      <c r="AB136" s="37"/>
      <c r="AC136" s="38"/>
      <c r="AN136" s="39"/>
    </row>
    <row r="137" ht="15.75" customHeight="1">
      <c r="A137" s="40"/>
      <c r="T137" s="36"/>
      <c r="U137" s="36"/>
      <c r="V137" s="36"/>
      <c r="W137" s="36"/>
      <c r="X137" s="36"/>
      <c r="AB137" s="37"/>
      <c r="AC137" s="38"/>
      <c r="AN137" s="39"/>
    </row>
    <row r="138" ht="15.75" customHeight="1">
      <c r="A138" s="40"/>
      <c r="T138" s="36"/>
      <c r="U138" s="36"/>
      <c r="V138" s="36"/>
      <c r="W138" s="36"/>
      <c r="X138" s="36"/>
      <c r="AB138" s="37"/>
      <c r="AC138" s="38"/>
      <c r="AN138" s="39"/>
    </row>
    <row r="139" ht="15.75" customHeight="1">
      <c r="A139" s="40"/>
      <c r="T139" s="36"/>
      <c r="U139" s="36"/>
      <c r="V139" s="36"/>
      <c r="W139" s="36"/>
      <c r="X139" s="36"/>
      <c r="AB139" s="37"/>
      <c r="AC139" s="38"/>
      <c r="AN139" s="39"/>
    </row>
    <row r="140" ht="15.75" customHeight="1">
      <c r="A140" s="40"/>
      <c r="T140" s="36"/>
      <c r="U140" s="36"/>
      <c r="V140" s="36"/>
      <c r="W140" s="36"/>
      <c r="X140" s="36"/>
      <c r="AB140" s="37"/>
      <c r="AC140" s="38"/>
      <c r="AN140" s="39"/>
    </row>
    <row r="141" ht="15.75" customHeight="1">
      <c r="A141" s="40"/>
      <c r="T141" s="36"/>
      <c r="U141" s="36"/>
      <c r="V141" s="36"/>
      <c r="W141" s="36"/>
      <c r="X141" s="36"/>
      <c r="AB141" s="37"/>
      <c r="AC141" s="38"/>
      <c r="AN141" s="39"/>
    </row>
    <row r="142" ht="15.75" customHeight="1">
      <c r="A142" s="40"/>
      <c r="T142" s="36"/>
      <c r="U142" s="36"/>
      <c r="V142" s="36"/>
      <c r="W142" s="36"/>
      <c r="X142" s="36"/>
      <c r="AB142" s="37"/>
      <c r="AC142" s="38"/>
      <c r="AN142" s="39"/>
    </row>
    <row r="143" ht="15.75" customHeight="1">
      <c r="A143" s="40"/>
      <c r="T143" s="36"/>
      <c r="U143" s="36"/>
      <c r="V143" s="36"/>
      <c r="W143" s="36"/>
      <c r="X143" s="36"/>
      <c r="AB143" s="37"/>
      <c r="AC143" s="38"/>
      <c r="AN143" s="39"/>
    </row>
    <row r="144" ht="15.75" customHeight="1">
      <c r="A144" s="40"/>
      <c r="T144" s="36"/>
      <c r="U144" s="36"/>
      <c r="V144" s="36"/>
      <c r="W144" s="36"/>
      <c r="X144" s="36"/>
      <c r="AB144" s="37"/>
      <c r="AC144" s="38"/>
      <c r="AN144" s="39"/>
    </row>
    <row r="145" ht="15.75" customHeight="1">
      <c r="A145" s="40"/>
      <c r="T145" s="36"/>
      <c r="U145" s="36"/>
      <c r="V145" s="36"/>
      <c r="W145" s="36"/>
      <c r="X145" s="36"/>
      <c r="AB145" s="37"/>
      <c r="AC145" s="38"/>
      <c r="AN145" s="39"/>
    </row>
    <row r="146" ht="15.75" customHeight="1">
      <c r="A146" s="40"/>
      <c r="T146" s="36"/>
      <c r="U146" s="36"/>
      <c r="V146" s="36"/>
      <c r="W146" s="36"/>
      <c r="X146" s="36"/>
      <c r="AB146" s="37"/>
      <c r="AC146" s="38"/>
      <c r="AN146" s="39"/>
    </row>
    <row r="147" ht="15.75" customHeight="1">
      <c r="A147" s="40"/>
      <c r="T147" s="36"/>
      <c r="U147" s="36"/>
      <c r="V147" s="36"/>
      <c r="W147" s="36"/>
      <c r="X147" s="36"/>
      <c r="AB147" s="37"/>
      <c r="AC147" s="38"/>
      <c r="AN147" s="39"/>
    </row>
    <row r="148" ht="15.75" customHeight="1">
      <c r="A148" s="40"/>
      <c r="T148" s="36"/>
      <c r="U148" s="36"/>
      <c r="V148" s="36"/>
      <c r="W148" s="36"/>
      <c r="X148" s="36"/>
      <c r="AB148" s="37"/>
      <c r="AC148" s="38"/>
      <c r="AN148" s="39"/>
    </row>
    <row r="149" ht="15.75" customHeight="1">
      <c r="A149" s="40"/>
      <c r="T149" s="36"/>
      <c r="U149" s="36"/>
      <c r="V149" s="36"/>
      <c r="W149" s="36"/>
      <c r="X149" s="36"/>
      <c r="AB149" s="37"/>
      <c r="AC149" s="38"/>
      <c r="AN149" s="39"/>
    </row>
    <row r="150" ht="15.75" customHeight="1">
      <c r="A150" s="40"/>
      <c r="T150" s="36"/>
      <c r="U150" s="36"/>
      <c r="V150" s="36"/>
      <c r="W150" s="36"/>
      <c r="X150" s="36"/>
      <c r="AB150" s="37"/>
      <c r="AC150" s="38"/>
      <c r="AN150" s="39"/>
    </row>
    <row r="151" ht="15.75" customHeight="1">
      <c r="A151" s="40"/>
      <c r="T151" s="36"/>
      <c r="U151" s="36"/>
      <c r="V151" s="36"/>
      <c r="W151" s="36"/>
      <c r="X151" s="36"/>
      <c r="AB151" s="37"/>
      <c r="AC151" s="38"/>
      <c r="AN151" s="39"/>
    </row>
    <row r="152" ht="15.75" customHeight="1">
      <c r="A152" s="40"/>
      <c r="T152" s="36"/>
      <c r="U152" s="36"/>
      <c r="V152" s="36"/>
      <c r="W152" s="36"/>
      <c r="X152" s="36"/>
      <c r="AB152" s="37"/>
      <c r="AC152" s="38"/>
      <c r="AN152" s="39"/>
    </row>
    <row r="153" ht="15.75" customHeight="1">
      <c r="A153" s="40"/>
      <c r="T153" s="36"/>
      <c r="U153" s="36"/>
      <c r="V153" s="36"/>
      <c r="W153" s="36"/>
      <c r="X153" s="36"/>
      <c r="AB153" s="37"/>
      <c r="AC153" s="38"/>
      <c r="AN153" s="39"/>
    </row>
    <row r="154" ht="15.75" customHeight="1">
      <c r="A154" s="40"/>
      <c r="T154" s="36"/>
      <c r="U154" s="36"/>
      <c r="V154" s="36"/>
      <c r="W154" s="36"/>
      <c r="X154" s="36"/>
      <c r="AB154" s="37"/>
      <c r="AC154" s="38"/>
      <c r="AN154" s="39"/>
    </row>
    <row r="155" ht="15.75" customHeight="1">
      <c r="A155" s="40"/>
      <c r="T155" s="36"/>
      <c r="U155" s="36"/>
      <c r="V155" s="36"/>
      <c r="W155" s="36"/>
      <c r="X155" s="36"/>
      <c r="AB155" s="37"/>
      <c r="AC155" s="38"/>
      <c r="AN155" s="39"/>
    </row>
    <row r="156" ht="15.75" customHeight="1">
      <c r="A156" s="40"/>
      <c r="T156" s="36"/>
      <c r="U156" s="36"/>
      <c r="V156" s="36"/>
      <c r="W156" s="36"/>
      <c r="X156" s="36"/>
      <c r="AB156" s="37"/>
      <c r="AC156" s="38"/>
      <c r="AN156" s="39"/>
    </row>
    <row r="157" ht="15.75" customHeight="1">
      <c r="A157" s="40"/>
      <c r="T157" s="36"/>
      <c r="U157" s="36"/>
      <c r="V157" s="36"/>
      <c r="W157" s="36"/>
      <c r="X157" s="36"/>
      <c r="AB157" s="37"/>
      <c r="AC157" s="38"/>
      <c r="AN157" s="39"/>
    </row>
    <row r="158" ht="15.75" customHeight="1">
      <c r="A158" s="40"/>
      <c r="T158" s="36"/>
      <c r="U158" s="36"/>
      <c r="V158" s="36"/>
      <c r="W158" s="36"/>
      <c r="X158" s="36"/>
      <c r="AB158" s="37"/>
      <c r="AC158" s="38"/>
      <c r="AN158" s="39"/>
    </row>
    <row r="159" ht="15.75" customHeight="1">
      <c r="A159" s="40"/>
      <c r="T159" s="36"/>
      <c r="U159" s="36"/>
      <c r="V159" s="36"/>
      <c r="W159" s="36"/>
      <c r="X159" s="36"/>
      <c r="AB159" s="37"/>
      <c r="AC159" s="38"/>
      <c r="AN159" s="39"/>
    </row>
    <row r="160" ht="15.75" customHeight="1">
      <c r="A160" s="40"/>
      <c r="T160" s="36"/>
      <c r="U160" s="36"/>
      <c r="V160" s="36"/>
      <c r="W160" s="36"/>
      <c r="X160" s="36"/>
      <c r="AB160" s="37"/>
      <c r="AC160" s="38"/>
      <c r="AN160" s="39"/>
    </row>
    <row r="161" ht="15.75" customHeight="1">
      <c r="A161" s="40"/>
      <c r="T161" s="36"/>
      <c r="U161" s="36"/>
      <c r="V161" s="36"/>
      <c r="W161" s="36"/>
      <c r="X161" s="36"/>
      <c r="AB161" s="37"/>
      <c r="AC161" s="38"/>
      <c r="AN161" s="39"/>
    </row>
    <row r="162" ht="15.75" customHeight="1">
      <c r="A162" s="40"/>
      <c r="T162" s="36"/>
      <c r="U162" s="36"/>
      <c r="V162" s="36"/>
      <c r="W162" s="36"/>
      <c r="X162" s="36"/>
      <c r="AB162" s="37"/>
      <c r="AC162" s="38"/>
      <c r="AN162" s="39"/>
    </row>
    <row r="163" ht="15.75" customHeight="1">
      <c r="A163" s="40"/>
      <c r="T163" s="36"/>
      <c r="U163" s="36"/>
      <c r="V163" s="36"/>
      <c r="W163" s="36"/>
      <c r="X163" s="36"/>
      <c r="AB163" s="37"/>
      <c r="AC163" s="38"/>
      <c r="AN163" s="39"/>
    </row>
    <row r="164" ht="15.75" customHeight="1">
      <c r="A164" s="40"/>
      <c r="T164" s="36"/>
      <c r="U164" s="36"/>
      <c r="V164" s="36"/>
      <c r="W164" s="36"/>
      <c r="X164" s="36"/>
      <c r="AB164" s="37"/>
      <c r="AC164" s="38"/>
      <c r="AN164" s="39"/>
    </row>
    <row r="165" ht="15.75" customHeight="1">
      <c r="A165" s="40"/>
      <c r="T165" s="36"/>
      <c r="U165" s="36"/>
      <c r="V165" s="36"/>
      <c r="W165" s="36"/>
      <c r="X165" s="36"/>
      <c r="AB165" s="37"/>
      <c r="AC165" s="38"/>
      <c r="AN165" s="39"/>
    </row>
    <row r="166" ht="15.75" customHeight="1">
      <c r="A166" s="40"/>
      <c r="T166" s="36"/>
      <c r="U166" s="36"/>
      <c r="V166" s="36"/>
      <c r="W166" s="36"/>
      <c r="X166" s="36"/>
      <c r="AB166" s="37"/>
      <c r="AC166" s="38"/>
      <c r="AN166" s="39"/>
    </row>
    <row r="167" ht="15.75" customHeight="1">
      <c r="A167" s="40"/>
      <c r="T167" s="36"/>
      <c r="U167" s="36"/>
      <c r="V167" s="36"/>
      <c r="W167" s="36"/>
      <c r="X167" s="36"/>
      <c r="AB167" s="37"/>
      <c r="AC167" s="38"/>
      <c r="AN167" s="39"/>
    </row>
    <row r="168" ht="15.75" customHeight="1">
      <c r="A168" s="40"/>
      <c r="T168" s="36"/>
      <c r="U168" s="36"/>
      <c r="V168" s="36"/>
      <c r="W168" s="36"/>
      <c r="X168" s="36"/>
      <c r="AB168" s="37"/>
      <c r="AC168" s="38"/>
      <c r="AN168" s="39"/>
    </row>
    <row r="169" ht="15.75" customHeight="1">
      <c r="A169" s="40"/>
      <c r="T169" s="36"/>
      <c r="U169" s="36"/>
      <c r="V169" s="36"/>
      <c r="W169" s="36"/>
      <c r="X169" s="36"/>
      <c r="AB169" s="37"/>
      <c r="AC169" s="38"/>
      <c r="AN169" s="39"/>
    </row>
    <row r="170" ht="15.75" customHeight="1">
      <c r="A170" s="40"/>
      <c r="T170" s="36"/>
      <c r="U170" s="36"/>
      <c r="V170" s="36"/>
      <c r="W170" s="36"/>
      <c r="X170" s="36"/>
      <c r="AB170" s="37"/>
      <c r="AC170" s="38"/>
      <c r="AN170" s="39"/>
    </row>
    <row r="171" ht="15.75" customHeight="1">
      <c r="A171" s="40"/>
      <c r="T171" s="36"/>
      <c r="U171" s="36"/>
      <c r="V171" s="36"/>
      <c r="W171" s="36"/>
      <c r="X171" s="36"/>
      <c r="AB171" s="37"/>
      <c r="AC171" s="38"/>
      <c r="AN171" s="39"/>
    </row>
    <row r="172" ht="15.75" customHeight="1">
      <c r="A172" s="40"/>
      <c r="T172" s="36"/>
      <c r="U172" s="36"/>
      <c r="V172" s="36"/>
      <c r="W172" s="36"/>
      <c r="X172" s="36"/>
      <c r="AB172" s="37"/>
      <c r="AC172" s="38"/>
      <c r="AN172" s="39"/>
    </row>
    <row r="173" ht="15.75" customHeight="1">
      <c r="A173" s="40"/>
      <c r="T173" s="36"/>
      <c r="U173" s="36"/>
      <c r="V173" s="36"/>
      <c r="W173" s="36"/>
      <c r="X173" s="36"/>
      <c r="AB173" s="37"/>
      <c r="AC173" s="38"/>
      <c r="AN173" s="39"/>
    </row>
    <row r="174" ht="15.75" customHeight="1">
      <c r="A174" s="40"/>
      <c r="T174" s="36"/>
      <c r="U174" s="36"/>
      <c r="V174" s="36"/>
      <c r="W174" s="36"/>
      <c r="X174" s="36"/>
      <c r="AB174" s="37"/>
      <c r="AC174" s="38"/>
      <c r="AN174" s="39"/>
    </row>
    <row r="175" ht="15.75" customHeight="1">
      <c r="A175" s="40"/>
      <c r="T175" s="36"/>
      <c r="U175" s="36"/>
      <c r="V175" s="36"/>
      <c r="W175" s="36"/>
      <c r="X175" s="36"/>
      <c r="AB175" s="37"/>
      <c r="AC175" s="38"/>
      <c r="AN175" s="39"/>
    </row>
    <row r="176" ht="15.75" customHeight="1">
      <c r="A176" s="40"/>
      <c r="T176" s="36"/>
      <c r="U176" s="36"/>
      <c r="V176" s="36"/>
      <c r="W176" s="36"/>
      <c r="X176" s="36"/>
      <c r="AB176" s="37"/>
      <c r="AC176" s="38"/>
      <c r="AN176" s="39"/>
    </row>
    <row r="177" ht="15.75" customHeight="1">
      <c r="A177" s="40"/>
      <c r="T177" s="36"/>
      <c r="U177" s="36"/>
      <c r="V177" s="36"/>
      <c r="W177" s="36"/>
      <c r="X177" s="36"/>
      <c r="AB177" s="37"/>
      <c r="AC177" s="38"/>
      <c r="AN177" s="39"/>
    </row>
    <row r="178" ht="15.75" customHeight="1">
      <c r="A178" s="40"/>
      <c r="T178" s="36"/>
      <c r="U178" s="36"/>
      <c r="V178" s="36"/>
      <c r="W178" s="36"/>
      <c r="X178" s="36"/>
      <c r="AB178" s="37"/>
      <c r="AC178" s="38"/>
      <c r="AN178" s="39"/>
    </row>
    <row r="179" ht="15.75" customHeight="1">
      <c r="A179" s="40"/>
      <c r="T179" s="36"/>
      <c r="U179" s="36"/>
      <c r="V179" s="36"/>
      <c r="W179" s="36"/>
      <c r="X179" s="36"/>
      <c r="AB179" s="37"/>
      <c r="AC179" s="38"/>
      <c r="AN179" s="39"/>
    </row>
    <row r="180" ht="15.75" customHeight="1">
      <c r="A180" s="40"/>
      <c r="T180" s="36"/>
      <c r="U180" s="36"/>
      <c r="V180" s="36"/>
      <c r="W180" s="36"/>
      <c r="X180" s="36"/>
      <c r="AB180" s="37"/>
      <c r="AC180" s="38"/>
      <c r="AN180" s="39"/>
    </row>
    <row r="181" ht="15.75" customHeight="1">
      <c r="A181" s="40"/>
      <c r="T181" s="36"/>
      <c r="U181" s="36"/>
      <c r="V181" s="36"/>
      <c r="W181" s="36"/>
      <c r="X181" s="36"/>
      <c r="AB181" s="37"/>
      <c r="AC181" s="38"/>
      <c r="AN181" s="39"/>
    </row>
    <row r="182" ht="15.75" customHeight="1">
      <c r="A182" s="40"/>
      <c r="T182" s="36"/>
      <c r="U182" s="36"/>
      <c r="V182" s="36"/>
      <c r="W182" s="36"/>
      <c r="X182" s="36"/>
      <c r="AB182" s="37"/>
      <c r="AC182" s="38"/>
      <c r="AN182" s="39"/>
    </row>
    <row r="183" ht="15.75" customHeight="1">
      <c r="A183" s="40"/>
      <c r="T183" s="36"/>
      <c r="U183" s="36"/>
      <c r="V183" s="36"/>
      <c r="W183" s="36"/>
      <c r="X183" s="36"/>
      <c r="AB183" s="37"/>
      <c r="AC183" s="38"/>
      <c r="AN183" s="39"/>
    </row>
    <row r="184" ht="15.75" customHeight="1">
      <c r="A184" s="40"/>
      <c r="T184" s="36"/>
      <c r="U184" s="36"/>
      <c r="V184" s="36"/>
      <c r="W184" s="36"/>
      <c r="X184" s="36"/>
      <c r="AB184" s="37"/>
      <c r="AC184" s="38"/>
      <c r="AN184" s="39"/>
    </row>
    <row r="185" ht="15.75" customHeight="1">
      <c r="A185" s="40"/>
      <c r="T185" s="36"/>
      <c r="U185" s="36"/>
      <c r="V185" s="36"/>
      <c r="W185" s="36"/>
      <c r="X185" s="36"/>
      <c r="AB185" s="37"/>
      <c r="AC185" s="38"/>
      <c r="AN185" s="39"/>
    </row>
    <row r="186" ht="15.75" customHeight="1">
      <c r="A186" s="40"/>
      <c r="T186" s="36"/>
      <c r="U186" s="36"/>
      <c r="V186" s="36"/>
      <c r="W186" s="36"/>
      <c r="X186" s="36"/>
      <c r="AB186" s="37"/>
      <c r="AC186" s="38"/>
      <c r="AN186" s="39"/>
    </row>
    <row r="187" ht="15.75" customHeight="1">
      <c r="A187" s="40"/>
      <c r="T187" s="36"/>
      <c r="U187" s="36"/>
      <c r="V187" s="36"/>
      <c r="W187" s="36"/>
      <c r="X187" s="36"/>
      <c r="AB187" s="37"/>
      <c r="AC187" s="38"/>
      <c r="AN187" s="39"/>
    </row>
    <row r="188" ht="15.75" customHeight="1">
      <c r="A188" s="40"/>
      <c r="T188" s="36"/>
      <c r="U188" s="36"/>
      <c r="V188" s="36"/>
      <c r="W188" s="36"/>
      <c r="X188" s="36"/>
      <c r="AB188" s="37"/>
      <c r="AC188" s="38"/>
      <c r="AN188" s="39"/>
    </row>
    <row r="189" ht="15.75" customHeight="1">
      <c r="A189" s="40"/>
      <c r="T189" s="36"/>
      <c r="U189" s="36"/>
      <c r="V189" s="36"/>
      <c r="W189" s="36"/>
      <c r="X189" s="36"/>
      <c r="AB189" s="37"/>
      <c r="AC189" s="38"/>
      <c r="AN189" s="39"/>
    </row>
    <row r="190" ht="15.75" customHeight="1">
      <c r="A190" s="40"/>
      <c r="T190" s="36"/>
      <c r="U190" s="36"/>
      <c r="V190" s="36"/>
      <c r="W190" s="36"/>
      <c r="X190" s="36"/>
      <c r="AB190" s="37"/>
      <c r="AC190" s="38"/>
      <c r="AN190" s="39"/>
    </row>
    <row r="191" ht="15.75" customHeight="1">
      <c r="A191" s="40"/>
      <c r="T191" s="36"/>
      <c r="U191" s="36"/>
      <c r="V191" s="36"/>
      <c r="W191" s="36"/>
      <c r="X191" s="36"/>
      <c r="AB191" s="37"/>
      <c r="AC191" s="38"/>
      <c r="AN191" s="39"/>
    </row>
    <row r="192" ht="15.75" customHeight="1">
      <c r="A192" s="40"/>
      <c r="T192" s="36"/>
      <c r="U192" s="36"/>
      <c r="V192" s="36"/>
      <c r="W192" s="36"/>
      <c r="X192" s="36"/>
      <c r="AB192" s="37"/>
      <c r="AC192" s="38"/>
      <c r="AN192" s="39"/>
    </row>
    <row r="193" ht="15.75" customHeight="1">
      <c r="A193" s="40"/>
      <c r="T193" s="36"/>
      <c r="U193" s="36"/>
      <c r="V193" s="36"/>
      <c r="W193" s="36"/>
      <c r="X193" s="36"/>
      <c r="AB193" s="37"/>
      <c r="AC193" s="38"/>
      <c r="AN193" s="39"/>
    </row>
    <row r="194" ht="15.75" customHeight="1">
      <c r="A194" s="40"/>
      <c r="T194" s="36"/>
      <c r="U194" s="36"/>
      <c r="V194" s="36"/>
      <c r="W194" s="36"/>
      <c r="X194" s="36"/>
      <c r="AB194" s="37"/>
      <c r="AC194" s="38"/>
      <c r="AN194" s="39"/>
    </row>
    <row r="195" ht="15.75" customHeight="1">
      <c r="A195" s="40"/>
      <c r="T195" s="36"/>
      <c r="U195" s="36"/>
      <c r="V195" s="36"/>
      <c r="W195" s="36"/>
      <c r="X195" s="36"/>
      <c r="AB195" s="37"/>
      <c r="AC195" s="38"/>
      <c r="AN195" s="39"/>
    </row>
    <row r="196" ht="15.75" customHeight="1">
      <c r="A196" s="40"/>
      <c r="T196" s="36"/>
      <c r="U196" s="36"/>
      <c r="V196" s="36"/>
      <c r="W196" s="36"/>
      <c r="X196" s="36"/>
      <c r="AB196" s="37"/>
      <c r="AC196" s="38"/>
      <c r="AN196" s="39"/>
    </row>
    <row r="197" ht="15.75" customHeight="1">
      <c r="A197" s="40"/>
      <c r="T197" s="36"/>
      <c r="U197" s="36"/>
      <c r="V197" s="36"/>
      <c r="W197" s="36"/>
      <c r="X197" s="36"/>
      <c r="AB197" s="37"/>
      <c r="AC197" s="38"/>
      <c r="AN197" s="39"/>
    </row>
    <row r="198" ht="15.75" customHeight="1">
      <c r="A198" s="40"/>
      <c r="T198" s="36"/>
      <c r="U198" s="36"/>
      <c r="V198" s="36"/>
      <c r="W198" s="36"/>
      <c r="X198" s="36"/>
      <c r="AB198" s="37"/>
      <c r="AC198" s="38"/>
      <c r="AN198" s="39"/>
    </row>
    <row r="199" ht="15.75" customHeight="1">
      <c r="A199" s="40"/>
      <c r="T199" s="36"/>
      <c r="U199" s="36"/>
      <c r="V199" s="36"/>
      <c r="W199" s="36"/>
      <c r="X199" s="36"/>
      <c r="AB199" s="37"/>
      <c r="AC199" s="38"/>
      <c r="AN199" s="39"/>
    </row>
    <row r="200" ht="15.75" customHeight="1">
      <c r="A200" s="40"/>
      <c r="T200" s="36"/>
      <c r="U200" s="36"/>
      <c r="V200" s="36"/>
      <c r="W200" s="36"/>
      <c r="X200" s="36"/>
      <c r="AB200" s="37"/>
      <c r="AC200" s="38"/>
      <c r="AN200" s="39"/>
    </row>
    <row r="201" ht="15.75" customHeight="1">
      <c r="A201" s="40"/>
      <c r="T201" s="36"/>
      <c r="U201" s="36"/>
      <c r="V201" s="36"/>
      <c r="W201" s="36"/>
      <c r="X201" s="36"/>
      <c r="AB201" s="37"/>
      <c r="AC201" s="38"/>
      <c r="AN201" s="39"/>
    </row>
    <row r="202" ht="15.75" customHeight="1">
      <c r="A202" s="40"/>
      <c r="T202" s="36"/>
      <c r="U202" s="36"/>
      <c r="V202" s="36"/>
      <c r="W202" s="36"/>
      <c r="X202" s="36"/>
      <c r="AB202" s="37"/>
      <c r="AC202" s="38"/>
      <c r="AN202" s="39"/>
    </row>
    <row r="203" ht="15.75" customHeight="1">
      <c r="A203" s="40"/>
      <c r="T203" s="36"/>
      <c r="U203" s="36"/>
      <c r="V203" s="36"/>
      <c r="W203" s="36"/>
      <c r="X203" s="36"/>
      <c r="AB203" s="37"/>
      <c r="AC203" s="38"/>
      <c r="AN203" s="39"/>
    </row>
    <row r="204" ht="15.75" customHeight="1">
      <c r="A204" s="40"/>
      <c r="T204" s="36"/>
      <c r="U204" s="36"/>
      <c r="V204" s="36"/>
      <c r="W204" s="36"/>
      <c r="X204" s="36"/>
      <c r="AB204" s="37"/>
      <c r="AC204" s="38"/>
      <c r="AN204" s="39"/>
    </row>
    <row r="205" ht="15.75" customHeight="1">
      <c r="A205" s="40"/>
      <c r="T205" s="36"/>
      <c r="U205" s="36"/>
      <c r="V205" s="36"/>
      <c r="W205" s="36"/>
      <c r="X205" s="36"/>
      <c r="AB205" s="37"/>
      <c r="AC205" s="38"/>
      <c r="AN205" s="39"/>
    </row>
    <row r="206" ht="15.75" customHeight="1">
      <c r="A206" s="40"/>
      <c r="T206" s="36"/>
      <c r="U206" s="36"/>
      <c r="V206" s="36"/>
      <c r="W206" s="36"/>
      <c r="X206" s="36"/>
      <c r="AB206" s="37"/>
      <c r="AC206" s="38"/>
      <c r="AN206" s="39"/>
    </row>
    <row r="207" ht="15.75" customHeight="1">
      <c r="A207" s="40"/>
      <c r="T207" s="36"/>
      <c r="U207" s="36"/>
      <c r="V207" s="36"/>
      <c r="W207" s="36"/>
      <c r="X207" s="36"/>
      <c r="AB207" s="37"/>
      <c r="AC207" s="38"/>
      <c r="AN207" s="39"/>
    </row>
    <row r="208" ht="15.75" customHeight="1">
      <c r="A208" s="40"/>
      <c r="T208" s="36"/>
      <c r="U208" s="36"/>
      <c r="V208" s="36"/>
      <c r="W208" s="36"/>
      <c r="X208" s="36"/>
      <c r="AB208" s="37"/>
      <c r="AC208" s="38"/>
      <c r="AN208" s="39"/>
    </row>
    <row r="209" ht="15.75" customHeight="1">
      <c r="A209" s="40"/>
      <c r="T209" s="36"/>
      <c r="U209" s="36"/>
      <c r="V209" s="36"/>
      <c r="W209" s="36"/>
      <c r="X209" s="36"/>
      <c r="AB209" s="37"/>
      <c r="AC209" s="38"/>
      <c r="AN209" s="39"/>
    </row>
    <row r="210" ht="15.75" customHeight="1">
      <c r="A210" s="40"/>
      <c r="T210" s="36"/>
      <c r="U210" s="36"/>
      <c r="V210" s="36"/>
      <c r="W210" s="36"/>
      <c r="X210" s="36"/>
      <c r="AB210" s="37"/>
      <c r="AC210" s="38"/>
      <c r="AN210" s="39"/>
    </row>
    <row r="211" ht="15.75" customHeight="1">
      <c r="A211" s="40"/>
      <c r="T211" s="36"/>
      <c r="U211" s="36"/>
      <c r="V211" s="36"/>
      <c r="W211" s="36"/>
      <c r="X211" s="36"/>
      <c r="AB211" s="37"/>
      <c r="AC211" s="38"/>
      <c r="AN211" s="39"/>
    </row>
    <row r="212" ht="15.75" customHeight="1">
      <c r="A212" s="40"/>
      <c r="T212" s="36"/>
      <c r="U212" s="36"/>
      <c r="V212" s="36"/>
      <c r="W212" s="36"/>
      <c r="X212" s="36"/>
      <c r="AB212" s="37"/>
      <c r="AC212" s="38"/>
      <c r="AN212" s="39"/>
    </row>
    <row r="213" ht="15.75" customHeight="1">
      <c r="A213" s="40"/>
      <c r="T213" s="36"/>
      <c r="U213" s="36"/>
      <c r="V213" s="36"/>
      <c r="W213" s="36"/>
      <c r="X213" s="36"/>
      <c r="AB213" s="37"/>
      <c r="AC213" s="38"/>
      <c r="AN213" s="39"/>
    </row>
    <row r="214" ht="15.75" customHeight="1">
      <c r="A214" s="40"/>
      <c r="T214" s="36"/>
      <c r="U214" s="36"/>
      <c r="V214" s="36"/>
      <c r="W214" s="36"/>
      <c r="X214" s="36"/>
      <c r="AB214" s="37"/>
      <c r="AC214" s="38"/>
      <c r="AN214" s="39"/>
    </row>
    <row r="215" ht="15.75" customHeight="1">
      <c r="A215" s="40"/>
      <c r="T215" s="36"/>
      <c r="U215" s="36"/>
      <c r="V215" s="36"/>
      <c r="W215" s="36"/>
      <c r="X215" s="36"/>
      <c r="AB215" s="37"/>
      <c r="AC215" s="38"/>
      <c r="AN215" s="39"/>
    </row>
    <row r="216" ht="15.75" customHeight="1">
      <c r="A216" s="40"/>
      <c r="T216" s="36"/>
      <c r="U216" s="36"/>
      <c r="V216" s="36"/>
      <c r="W216" s="36"/>
      <c r="X216" s="36"/>
      <c r="AB216" s="37"/>
      <c r="AC216" s="38"/>
      <c r="AN216" s="39"/>
    </row>
    <row r="217" ht="15.75" customHeight="1">
      <c r="A217" s="40"/>
      <c r="T217" s="36"/>
      <c r="U217" s="36"/>
      <c r="V217" s="36"/>
      <c r="W217" s="36"/>
      <c r="X217" s="36"/>
      <c r="AB217" s="37"/>
      <c r="AC217" s="38"/>
      <c r="AN217" s="39"/>
    </row>
    <row r="218" ht="15.75" customHeight="1">
      <c r="A218" s="40"/>
      <c r="T218" s="36"/>
      <c r="U218" s="36"/>
      <c r="V218" s="36"/>
      <c r="W218" s="36"/>
      <c r="X218" s="36"/>
      <c r="AB218" s="37"/>
      <c r="AC218" s="38"/>
      <c r="AN218" s="39"/>
    </row>
    <row r="219" ht="15.75" customHeight="1">
      <c r="A219" s="40"/>
      <c r="T219" s="36"/>
      <c r="U219" s="36"/>
      <c r="V219" s="36"/>
      <c r="W219" s="36"/>
      <c r="X219" s="36"/>
      <c r="AB219" s="37"/>
      <c r="AC219" s="38"/>
      <c r="AN219" s="39"/>
    </row>
    <row r="220" ht="15.75" customHeight="1">
      <c r="A220" s="40"/>
      <c r="T220" s="36"/>
      <c r="U220" s="36"/>
      <c r="V220" s="36"/>
      <c r="W220" s="36"/>
      <c r="X220" s="36"/>
      <c r="AB220" s="37"/>
      <c r="AC220" s="38"/>
      <c r="AN220" s="39"/>
    </row>
    <row r="221" ht="15.75" customHeight="1">
      <c r="A221" s="40"/>
      <c r="T221" s="36"/>
      <c r="U221" s="36"/>
      <c r="V221" s="36"/>
      <c r="W221" s="36"/>
      <c r="X221" s="36"/>
      <c r="AB221" s="37"/>
      <c r="AC221" s="38"/>
      <c r="AN221" s="39"/>
    </row>
    <row r="222" ht="15.75" customHeight="1">
      <c r="A222" s="40"/>
      <c r="T222" s="36"/>
      <c r="U222" s="36"/>
      <c r="V222" s="36"/>
      <c r="W222" s="36"/>
      <c r="X222" s="36"/>
      <c r="AB222" s="37"/>
      <c r="AC222" s="38"/>
      <c r="AN222" s="39"/>
    </row>
    <row r="223" ht="15.75" customHeight="1">
      <c r="A223" s="40"/>
      <c r="T223" s="36"/>
      <c r="U223" s="36"/>
      <c r="V223" s="36"/>
      <c r="W223" s="36"/>
      <c r="X223" s="36"/>
      <c r="AB223" s="37"/>
      <c r="AC223" s="38"/>
      <c r="AN223" s="39"/>
    </row>
    <row r="224" ht="15.75" customHeight="1">
      <c r="A224" s="40"/>
      <c r="T224" s="36"/>
      <c r="U224" s="36"/>
      <c r="V224" s="36"/>
      <c r="W224" s="36"/>
      <c r="X224" s="36"/>
      <c r="AB224" s="37"/>
      <c r="AC224" s="38"/>
      <c r="AN224" s="39"/>
    </row>
    <row r="225" ht="15.75" customHeight="1">
      <c r="A225" s="40"/>
      <c r="T225" s="36"/>
      <c r="U225" s="36"/>
      <c r="V225" s="36"/>
      <c r="W225" s="36"/>
      <c r="X225" s="36"/>
      <c r="AB225" s="37"/>
      <c r="AC225" s="38"/>
      <c r="AN225" s="39"/>
    </row>
    <row r="226" ht="15.75" customHeight="1">
      <c r="A226" s="40"/>
      <c r="T226" s="36"/>
      <c r="U226" s="36"/>
      <c r="V226" s="36"/>
      <c r="W226" s="36"/>
      <c r="X226" s="36"/>
      <c r="AB226" s="37"/>
      <c r="AC226" s="38"/>
      <c r="AN226" s="39"/>
    </row>
    <row r="227" ht="15.75" customHeight="1">
      <c r="A227" s="40"/>
      <c r="T227" s="36"/>
      <c r="U227" s="36"/>
      <c r="V227" s="36"/>
      <c r="W227" s="36"/>
      <c r="X227" s="36"/>
      <c r="AB227" s="37"/>
      <c r="AC227" s="38"/>
      <c r="AN227" s="39"/>
    </row>
    <row r="228" ht="15.75" customHeight="1">
      <c r="A228" s="40"/>
      <c r="T228" s="36"/>
      <c r="U228" s="36"/>
      <c r="V228" s="36"/>
      <c r="W228" s="36"/>
      <c r="X228" s="36"/>
      <c r="AB228" s="37"/>
      <c r="AC228" s="38"/>
      <c r="AN228" s="39"/>
    </row>
    <row r="229" ht="15.75" customHeight="1">
      <c r="A229" s="40"/>
      <c r="T229" s="36"/>
      <c r="U229" s="36"/>
      <c r="V229" s="36"/>
      <c r="W229" s="36"/>
      <c r="X229" s="36"/>
      <c r="AB229" s="37"/>
      <c r="AC229" s="38"/>
      <c r="AN229" s="39"/>
    </row>
    <row r="230" ht="15.75" customHeight="1">
      <c r="A230" s="40"/>
      <c r="T230" s="36"/>
      <c r="U230" s="36"/>
      <c r="V230" s="36"/>
      <c r="W230" s="36"/>
      <c r="X230" s="36"/>
      <c r="AB230" s="37"/>
      <c r="AC230" s="38"/>
      <c r="AN230" s="39"/>
    </row>
    <row r="231" ht="15.75" customHeight="1">
      <c r="A231" s="40"/>
      <c r="T231" s="36"/>
      <c r="U231" s="36"/>
      <c r="V231" s="36"/>
      <c r="W231" s="36"/>
      <c r="X231" s="36"/>
      <c r="AB231" s="37"/>
      <c r="AC231" s="38"/>
      <c r="AN231" s="39"/>
    </row>
    <row r="232" ht="15.75" customHeight="1">
      <c r="A232" s="40"/>
      <c r="T232" s="36"/>
      <c r="U232" s="36"/>
      <c r="V232" s="36"/>
      <c r="W232" s="36"/>
      <c r="X232" s="36"/>
      <c r="AB232" s="37"/>
      <c r="AC232" s="38"/>
      <c r="AN232" s="39"/>
    </row>
    <row r="233" ht="15.75" customHeight="1">
      <c r="A233" s="40"/>
      <c r="T233" s="36"/>
      <c r="U233" s="36"/>
      <c r="V233" s="36"/>
      <c r="W233" s="36"/>
      <c r="X233" s="36"/>
      <c r="AB233" s="37"/>
      <c r="AC233" s="38"/>
      <c r="AN233" s="39"/>
    </row>
    <row r="234" ht="15.75" customHeight="1">
      <c r="A234" s="40"/>
      <c r="T234" s="36"/>
      <c r="U234" s="36"/>
      <c r="V234" s="36"/>
      <c r="W234" s="36"/>
      <c r="X234" s="36"/>
      <c r="AB234" s="37"/>
      <c r="AC234" s="38"/>
      <c r="AN234" s="39"/>
    </row>
    <row r="235" ht="15.75" customHeight="1">
      <c r="A235" s="40"/>
      <c r="T235" s="36"/>
      <c r="U235" s="36"/>
      <c r="V235" s="36"/>
      <c r="W235" s="36"/>
      <c r="X235" s="36"/>
      <c r="AB235" s="37"/>
      <c r="AC235" s="38"/>
      <c r="AN235" s="39"/>
    </row>
    <row r="236" ht="15.75" customHeight="1">
      <c r="A236" s="40"/>
      <c r="T236" s="36"/>
      <c r="U236" s="36"/>
      <c r="V236" s="36"/>
      <c r="W236" s="36"/>
      <c r="X236" s="36"/>
      <c r="AB236" s="37"/>
      <c r="AC236" s="38"/>
      <c r="AN236" s="39"/>
    </row>
    <row r="237" ht="15.75" customHeight="1">
      <c r="A237" s="40"/>
      <c r="T237" s="36"/>
      <c r="U237" s="36"/>
      <c r="V237" s="36"/>
      <c r="W237" s="36"/>
      <c r="X237" s="36"/>
      <c r="AB237" s="37"/>
      <c r="AC237" s="38"/>
      <c r="AN237" s="39"/>
    </row>
    <row r="238" ht="15.75" customHeight="1">
      <c r="A238" s="40"/>
      <c r="T238" s="36"/>
      <c r="U238" s="36"/>
      <c r="V238" s="36"/>
      <c r="W238" s="36"/>
      <c r="X238" s="36"/>
      <c r="AB238" s="37"/>
      <c r="AC238" s="38"/>
      <c r="AN238" s="39"/>
    </row>
    <row r="239" ht="15.75" customHeight="1">
      <c r="A239" s="40"/>
      <c r="T239" s="36"/>
      <c r="U239" s="36"/>
      <c r="V239" s="36"/>
      <c r="W239" s="36"/>
      <c r="X239" s="36"/>
      <c r="AB239" s="37"/>
      <c r="AC239" s="38"/>
      <c r="AN239" s="39"/>
    </row>
    <row r="240" ht="15.75" customHeight="1">
      <c r="A240" s="40"/>
      <c r="T240" s="36"/>
      <c r="U240" s="36"/>
      <c r="V240" s="36"/>
      <c r="W240" s="36"/>
      <c r="X240" s="36"/>
      <c r="AB240" s="37"/>
      <c r="AC240" s="38"/>
      <c r="AN240" s="39"/>
    </row>
    <row r="241" ht="15.75" customHeight="1">
      <c r="A241" s="40"/>
      <c r="T241" s="36"/>
      <c r="U241" s="36"/>
      <c r="V241" s="36"/>
      <c r="W241" s="36"/>
      <c r="X241" s="36"/>
      <c r="AB241" s="37"/>
      <c r="AC241" s="38"/>
      <c r="AN241" s="39"/>
    </row>
    <row r="242" ht="15.75" customHeight="1">
      <c r="A242" s="40"/>
      <c r="T242" s="36"/>
      <c r="U242" s="36"/>
      <c r="V242" s="36"/>
      <c r="W242" s="36"/>
      <c r="X242" s="36"/>
      <c r="AB242" s="37"/>
      <c r="AC242" s="38"/>
      <c r="AN242" s="39"/>
    </row>
    <row r="243" ht="15.75" customHeight="1">
      <c r="A243" s="40"/>
      <c r="T243" s="36"/>
      <c r="U243" s="36"/>
      <c r="V243" s="36"/>
      <c r="W243" s="36"/>
      <c r="X243" s="36"/>
      <c r="AB243" s="37"/>
      <c r="AC243" s="38"/>
      <c r="AN243" s="39"/>
    </row>
    <row r="244" ht="15.75" customHeight="1">
      <c r="A244" s="40"/>
      <c r="T244" s="36"/>
      <c r="U244" s="36"/>
      <c r="V244" s="36"/>
      <c r="W244" s="36"/>
      <c r="X244" s="36"/>
      <c r="AB244" s="37"/>
      <c r="AC244" s="38"/>
      <c r="AN244" s="39"/>
    </row>
    <row r="245" ht="15.75" customHeight="1">
      <c r="A245" s="40"/>
      <c r="T245" s="36"/>
      <c r="U245" s="36"/>
      <c r="V245" s="36"/>
      <c r="W245" s="36"/>
      <c r="X245" s="36"/>
      <c r="AB245" s="37"/>
      <c r="AC245" s="38"/>
      <c r="AN245" s="39"/>
    </row>
    <row r="246" ht="15.75" customHeight="1">
      <c r="A246" s="40"/>
      <c r="T246" s="36"/>
      <c r="U246" s="36"/>
      <c r="V246" s="36"/>
      <c r="W246" s="36"/>
      <c r="X246" s="36"/>
      <c r="AB246" s="37"/>
      <c r="AC246" s="38"/>
      <c r="AN246" s="39"/>
    </row>
    <row r="247" ht="15.75" customHeight="1">
      <c r="A247" s="40"/>
      <c r="T247" s="36"/>
      <c r="U247" s="36"/>
      <c r="V247" s="36"/>
      <c r="W247" s="36"/>
      <c r="X247" s="36"/>
      <c r="AB247" s="37"/>
      <c r="AC247" s="38"/>
      <c r="AN247" s="39"/>
    </row>
    <row r="248" ht="15.75" customHeight="1">
      <c r="A248" s="40"/>
      <c r="T248" s="36"/>
      <c r="U248" s="36"/>
      <c r="V248" s="36"/>
      <c r="W248" s="36"/>
      <c r="X248" s="36"/>
      <c r="AB248" s="37"/>
      <c r="AC248" s="38"/>
      <c r="AN248" s="39"/>
    </row>
    <row r="249" ht="15.75" customHeight="1">
      <c r="A249" s="40"/>
      <c r="T249" s="36"/>
      <c r="U249" s="36"/>
      <c r="V249" s="36"/>
      <c r="W249" s="36"/>
      <c r="X249" s="36"/>
      <c r="AB249" s="37"/>
      <c r="AC249" s="38"/>
      <c r="AN249" s="39"/>
    </row>
    <row r="250" ht="15.75" customHeight="1">
      <c r="A250" s="40"/>
      <c r="T250" s="36"/>
      <c r="U250" s="36"/>
      <c r="V250" s="36"/>
      <c r="W250" s="36"/>
      <c r="X250" s="36"/>
      <c r="AB250" s="37"/>
      <c r="AC250" s="38"/>
      <c r="AN250" s="39"/>
    </row>
    <row r="251" ht="15.75" customHeight="1">
      <c r="A251" s="40"/>
      <c r="T251" s="36"/>
      <c r="U251" s="36"/>
      <c r="V251" s="36"/>
      <c r="W251" s="36"/>
      <c r="X251" s="36"/>
      <c r="AB251" s="37"/>
      <c r="AC251" s="38"/>
      <c r="AN251" s="39"/>
    </row>
    <row r="252" ht="15.75" customHeight="1">
      <c r="A252" s="40"/>
      <c r="T252" s="36"/>
      <c r="U252" s="36"/>
      <c r="V252" s="36"/>
      <c r="W252" s="36"/>
      <c r="X252" s="36"/>
      <c r="AB252" s="37"/>
      <c r="AC252" s="38"/>
      <c r="AN252" s="39"/>
    </row>
    <row r="253" ht="15.75" customHeight="1">
      <c r="A253" s="40"/>
      <c r="T253" s="36"/>
      <c r="U253" s="36"/>
      <c r="V253" s="36"/>
      <c r="W253" s="36"/>
      <c r="X253" s="36"/>
      <c r="AB253" s="37"/>
      <c r="AC253" s="38"/>
      <c r="AN253" s="39"/>
    </row>
    <row r="254" ht="15.75" customHeight="1">
      <c r="A254" s="40"/>
      <c r="T254" s="36"/>
      <c r="U254" s="36"/>
      <c r="V254" s="36"/>
      <c r="W254" s="36"/>
      <c r="X254" s="36"/>
      <c r="AB254" s="37"/>
      <c r="AC254" s="38"/>
      <c r="AN254" s="39"/>
    </row>
    <row r="255" ht="15.75" customHeight="1">
      <c r="A255" s="40"/>
      <c r="T255" s="36"/>
      <c r="U255" s="36"/>
      <c r="V255" s="36"/>
      <c r="W255" s="36"/>
      <c r="X255" s="36"/>
      <c r="AB255" s="37"/>
      <c r="AC255" s="38"/>
      <c r="AN255" s="39"/>
    </row>
    <row r="256" ht="15.75" customHeight="1">
      <c r="A256" s="40"/>
      <c r="T256" s="36"/>
      <c r="U256" s="36"/>
      <c r="V256" s="36"/>
      <c r="W256" s="36"/>
      <c r="X256" s="36"/>
      <c r="AB256" s="37"/>
      <c r="AC256" s="38"/>
      <c r="AN256" s="39"/>
    </row>
    <row r="257" ht="15.75" customHeight="1">
      <c r="A257" s="40"/>
      <c r="T257" s="36"/>
      <c r="U257" s="36"/>
      <c r="V257" s="36"/>
      <c r="W257" s="36"/>
      <c r="X257" s="36"/>
      <c r="AB257" s="37"/>
      <c r="AC257" s="38"/>
      <c r="AN257" s="39"/>
    </row>
    <row r="258" ht="15.75" customHeight="1">
      <c r="A258" s="40"/>
      <c r="T258" s="36"/>
      <c r="U258" s="36"/>
      <c r="V258" s="36"/>
      <c r="W258" s="36"/>
      <c r="X258" s="36"/>
      <c r="AB258" s="37"/>
      <c r="AC258" s="38"/>
      <c r="AN258" s="39"/>
    </row>
    <row r="259" ht="15.75" customHeight="1">
      <c r="A259" s="40"/>
      <c r="T259" s="36"/>
      <c r="U259" s="36"/>
      <c r="V259" s="36"/>
      <c r="W259" s="36"/>
      <c r="X259" s="36"/>
      <c r="AB259" s="37"/>
      <c r="AC259" s="38"/>
      <c r="AN259" s="39"/>
    </row>
    <row r="260" ht="15.75" customHeight="1">
      <c r="A260" s="40"/>
      <c r="T260" s="36"/>
      <c r="U260" s="36"/>
      <c r="V260" s="36"/>
      <c r="W260" s="36"/>
      <c r="X260" s="36"/>
      <c r="AB260" s="37"/>
      <c r="AC260" s="38"/>
      <c r="AN260" s="39"/>
    </row>
    <row r="261" ht="15.75" customHeight="1">
      <c r="A261" s="40"/>
      <c r="T261" s="36"/>
      <c r="U261" s="36"/>
      <c r="V261" s="36"/>
      <c r="W261" s="36"/>
      <c r="X261" s="36"/>
      <c r="AB261" s="37"/>
      <c r="AC261" s="38"/>
      <c r="AN261" s="39"/>
    </row>
    <row r="262" ht="15.75" customHeight="1">
      <c r="A262" s="40"/>
      <c r="T262" s="36"/>
      <c r="U262" s="36"/>
      <c r="V262" s="36"/>
      <c r="W262" s="36"/>
      <c r="X262" s="36"/>
      <c r="AB262" s="37"/>
      <c r="AC262" s="38"/>
      <c r="AN262" s="39"/>
    </row>
    <row r="263" ht="15.75" customHeight="1">
      <c r="A263" s="40"/>
      <c r="T263" s="36"/>
      <c r="U263" s="36"/>
      <c r="V263" s="36"/>
      <c r="W263" s="36"/>
      <c r="X263" s="36"/>
      <c r="AB263" s="37"/>
      <c r="AC263" s="38"/>
      <c r="AN263" s="39"/>
    </row>
    <row r="264" ht="15.75" customHeight="1">
      <c r="A264" s="40"/>
      <c r="T264" s="36"/>
      <c r="U264" s="36"/>
      <c r="V264" s="36"/>
      <c r="W264" s="36"/>
      <c r="X264" s="36"/>
      <c r="AB264" s="37"/>
      <c r="AC264" s="38"/>
      <c r="AN264" s="39"/>
    </row>
    <row r="265" ht="15.75" customHeight="1">
      <c r="A265" s="40"/>
      <c r="T265" s="36"/>
      <c r="U265" s="36"/>
      <c r="V265" s="36"/>
      <c r="W265" s="36"/>
      <c r="X265" s="36"/>
      <c r="AB265" s="37"/>
      <c r="AC265" s="38"/>
      <c r="AN265" s="39"/>
    </row>
    <row r="266" ht="15.75" customHeight="1">
      <c r="A266" s="40"/>
      <c r="T266" s="36"/>
      <c r="U266" s="36"/>
      <c r="V266" s="36"/>
      <c r="W266" s="36"/>
      <c r="X266" s="36"/>
      <c r="AB266" s="37"/>
      <c r="AC266" s="38"/>
      <c r="AN266" s="39"/>
    </row>
    <row r="267" ht="15.75" customHeight="1">
      <c r="A267" s="40"/>
      <c r="T267" s="36"/>
      <c r="U267" s="36"/>
      <c r="V267" s="36"/>
      <c r="W267" s="36"/>
      <c r="X267" s="36"/>
      <c r="AB267" s="37"/>
      <c r="AC267" s="38"/>
      <c r="AN267" s="39"/>
    </row>
    <row r="268" ht="15.75" customHeight="1">
      <c r="A268" s="40"/>
      <c r="T268" s="36"/>
      <c r="U268" s="36"/>
      <c r="V268" s="36"/>
      <c r="W268" s="36"/>
      <c r="X268" s="36"/>
      <c r="AB268" s="37"/>
      <c r="AC268" s="38"/>
      <c r="AN268" s="39"/>
    </row>
    <row r="269" ht="15.75" customHeight="1">
      <c r="A269" s="40"/>
      <c r="T269" s="36"/>
      <c r="U269" s="36"/>
      <c r="V269" s="36"/>
      <c r="W269" s="36"/>
      <c r="X269" s="36"/>
      <c r="AB269" s="37"/>
      <c r="AC269" s="38"/>
      <c r="AN269" s="39"/>
    </row>
    <row r="270" ht="15.75" customHeight="1">
      <c r="A270" s="40"/>
      <c r="T270" s="36"/>
      <c r="U270" s="36"/>
      <c r="V270" s="36"/>
      <c r="W270" s="36"/>
      <c r="X270" s="36"/>
      <c r="AB270" s="37"/>
      <c r="AC270" s="38"/>
      <c r="AN270" s="39"/>
    </row>
    <row r="271" ht="15.75" customHeight="1">
      <c r="A271" s="40"/>
      <c r="T271" s="36"/>
      <c r="U271" s="36"/>
      <c r="V271" s="36"/>
      <c r="W271" s="36"/>
      <c r="X271" s="36"/>
      <c r="AB271" s="37"/>
      <c r="AC271" s="38"/>
      <c r="AN271" s="39"/>
    </row>
    <row r="272" ht="15.75" customHeight="1">
      <c r="A272" s="40"/>
      <c r="T272" s="36"/>
      <c r="U272" s="36"/>
      <c r="V272" s="36"/>
      <c r="W272" s="36"/>
      <c r="X272" s="36"/>
      <c r="AB272" s="37"/>
      <c r="AC272" s="38"/>
      <c r="AN272" s="39"/>
    </row>
    <row r="273" ht="15.75" customHeight="1">
      <c r="A273" s="40"/>
      <c r="T273" s="36"/>
      <c r="U273" s="36"/>
      <c r="V273" s="36"/>
      <c r="W273" s="36"/>
      <c r="X273" s="36"/>
      <c r="AB273" s="37"/>
      <c r="AC273" s="38"/>
      <c r="AN273" s="39"/>
    </row>
    <row r="274" ht="15.75" customHeight="1">
      <c r="A274" s="40"/>
      <c r="T274" s="36"/>
      <c r="U274" s="36"/>
      <c r="V274" s="36"/>
      <c r="W274" s="36"/>
      <c r="X274" s="36"/>
      <c r="AB274" s="37"/>
      <c r="AC274" s="38"/>
      <c r="AN274" s="39"/>
    </row>
    <row r="275" ht="15.75" customHeight="1">
      <c r="A275" s="40"/>
      <c r="T275" s="36"/>
      <c r="U275" s="36"/>
      <c r="V275" s="36"/>
      <c r="W275" s="36"/>
      <c r="X275" s="36"/>
      <c r="AB275" s="37"/>
      <c r="AC275" s="38"/>
      <c r="AN275" s="39"/>
    </row>
    <row r="276" ht="15.75" customHeight="1">
      <c r="A276" s="40"/>
      <c r="T276" s="36"/>
      <c r="U276" s="36"/>
      <c r="V276" s="36"/>
      <c r="W276" s="36"/>
      <c r="X276" s="36"/>
      <c r="AB276" s="37"/>
      <c r="AC276" s="38"/>
      <c r="AN276" s="39"/>
    </row>
    <row r="277" ht="15.75" customHeight="1">
      <c r="A277" s="40"/>
      <c r="T277" s="36"/>
      <c r="U277" s="36"/>
      <c r="V277" s="36"/>
      <c r="W277" s="36"/>
      <c r="X277" s="36"/>
      <c r="AB277" s="37"/>
      <c r="AC277" s="38"/>
      <c r="AN277" s="39"/>
    </row>
    <row r="278" ht="15.75" customHeight="1">
      <c r="A278" s="40"/>
      <c r="T278" s="36"/>
      <c r="U278" s="36"/>
      <c r="V278" s="36"/>
      <c r="W278" s="36"/>
      <c r="X278" s="36"/>
      <c r="AB278" s="37"/>
      <c r="AC278" s="38"/>
      <c r="AN278" s="39"/>
    </row>
    <row r="279" ht="15.75" customHeight="1">
      <c r="A279" s="40"/>
      <c r="T279" s="36"/>
      <c r="U279" s="36"/>
      <c r="V279" s="36"/>
      <c r="W279" s="36"/>
      <c r="X279" s="36"/>
      <c r="AB279" s="37"/>
      <c r="AC279" s="38"/>
      <c r="AN279" s="39"/>
    </row>
    <row r="280" ht="15.75" customHeight="1">
      <c r="A280" s="40"/>
      <c r="T280" s="36"/>
      <c r="U280" s="36"/>
      <c r="V280" s="36"/>
      <c r="W280" s="36"/>
      <c r="X280" s="36"/>
      <c r="AB280" s="37"/>
      <c r="AC280" s="38"/>
      <c r="AN280" s="39"/>
    </row>
    <row r="281" ht="15.75" customHeight="1">
      <c r="A281" s="40"/>
      <c r="T281" s="36"/>
      <c r="U281" s="36"/>
      <c r="V281" s="36"/>
      <c r="W281" s="36"/>
      <c r="X281" s="36"/>
      <c r="AB281" s="37"/>
      <c r="AC281" s="38"/>
      <c r="AN281" s="39"/>
    </row>
    <row r="282" ht="15.75" customHeight="1">
      <c r="A282" s="40"/>
      <c r="T282" s="36"/>
      <c r="U282" s="36"/>
      <c r="V282" s="36"/>
      <c r="W282" s="36"/>
      <c r="X282" s="36"/>
      <c r="AB282" s="37"/>
      <c r="AC282" s="38"/>
      <c r="AN282" s="39"/>
    </row>
    <row r="283" ht="15.75" customHeight="1">
      <c r="A283" s="40"/>
      <c r="T283" s="36"/>
      <c r="U283" s="36"/>
      <c r="V283" s="36"/>
      <c r="W283" s="36"/>
      <c r="X283" s="36"/>
      <c r="AB283" s="37"/>
      <c r="AC283" s="38"/>
      <c r="AN283" s="39"/>
    </row>
    <row r="284" ht="15.75" customHeight="1">
      <c r="A284" s="40"/>
      <c r="T284" s="36"/>
      <c r="U284" s="36"/>
      <c r="V284" s="36"/>
      <c r="W284" s="36"/>
      <c r="X284" s="36"/>
      <c r="AB284" s="37"/>
      <c r="AC284" s="38"/>
      <c r="AN284" s="39"/>
    </row>
    <row r="285" ht="15.75" customHeight="1">
      <c r="A285" s="40"/>
      <c r="T285" s="36"/>
      <c r="U285" s="36"/>
      <c r="V285" s="36"/>
      <c r="W285" s="36"/>
      <c r="X285" s="36"/>
      <c r="AB285" s="37"/>
      <c r="AC285" s="38"/>
      <c r="AN285" s="39"/>
    </row>
    <row r="286" ht="15.75" customHeight="1">
      <c r="A286" s="40"/>
      <c r="T286" s="36"/>
      <c r="U286" s="36"/>
      <c r="V286" s="36"/>
      <c r="W286" s="36"/>
      <c r="X286" s="36"/>
      <c r="AB286" s="37"/>
      <c r="AC286" s="38"/>
      <c r="AN286" s="39"/>
    </row>
    <row r="287" ht="15.75" customHeight="1">
      <c r="A287" s="40"/>
      <c r="T287" s="36"/>
      <c r="U287" s="36"/>
      <c r="V287" s="36"/>
      <c r="W287" s="36"/>
      <c r="X287" s="36"/>
      <c r="AB287" s="37"/>
      <c r="AC287" s="38"/>
      <c r="AN287" s="39"/>
    </row>
    <row r="288" ht="15.75" customHeight="1">
      <c r="A288" s="40"/>
      <c r="T288" s="36"/>
      <c r="U288" s="36"/>
      <c r="V288" s="36"/>
      <c r="W288" s="36"/>
      <c r="X288" s="36"/>
      <c r="AB288" s="37"/>
      <c r="AC288" s="38"/>
      <c r="AN288" s="39"/>
    </row>
    <row r="289" ht="15.75" customHeight="1">
      <c r="A289" s="40"/>
      <c r="T289" s="36"/>
      <c r="U289" s="36"/>
      <c r="V289" s="36"/>
      <c r="W289" s="36"/>
      <c r="X289" s="36"/>
      <c r="AB289" s="37"/>
      <c r="AC289" s="38"/>
      <c r="AN289" s="39"/>
    </row>
    <row r="290" ht="15.75" customHeight="1">
      <c r="A290" s="40"/>
      <c r="T290" s="36"/>
      <c r="U290" s="36"/>
      <c r="V290" s="36"/>
      <c r="W290" s="36"/>
      <c r="X290" s="36"/>
      <c r="AB290" s="37"/>
      <c r="AC290" s="38"/>
      <c r="AN290" s="39"/>
    </row>
    <row r="291" ht="15.75" customHeight="1">
      <c r="A291" s="40"/>
      <c r="T291" s="36"/>
      <c r="U291" s="36"/>
      <c r="V291" s="36"/>
      <c r="W291" s="36"/>
      <c r="X291" s="36"/>
      <c r="AB291" s="37"/>
      <c r="AC291" s="38"/>
      <c r="AN291" s="39"/>
    </row>
    <row r="292" ht="15.75" customHeight="1">
      <c r="A292" s="40"/>
      <c r="T292" s="36"/>
      <c r="U292" s="36"/>
      <c r="V292" s="36"/>
      <c r="W292" s="36"/>
      <c r="X292" s="36"/>
      <c r="AB292" s="37"/>
      <c r="AC292" s="38"/>
      <c r="AN292" s="39"/>
    </row>
    <row r="293" ht="15.75" customHeight="1">
      <c r="A293" s="40"/>
      <c r="T293" s="36"/>
      <c r="U293" s="36"/>
      <c r="V293" s="36"/>
      <c r="W293" s="36"/>
      <c r="X293" s="36"/>
      <c r="AB293" s="37"/>
      <c r="AC293" s="38"/>
      <c r="AN293" s="39"/>
    </row>
    <row r="294" ht="15.75" customHeight="1">
      <c r="A294" s="40"/>
      <c r="T294" s="36"/>
      <c r="U294" s="36"/>
      <c r="V294" s="36"/>
      <c r="W294" s="36"/>
      <c r="X294" s="36"/>
      <c r="AB294" s="37"/>
      <c r="AC294" s="38"/>
      <c r="AN294" s="39"/>
    </row>
    <row r="295" ht="15.75" customHeight="1">
      <c r="A295" s="40"/>
      <c r="T295" s="36"/>
      <c r="U295" s="36"/>
      <c r="V295" s="36"/>
      <c r="W295" s="36"/>
      <c r="X295" s="36"/>
      <c r="AB295" s="37"/>
      <c r="AC295" s="38"/>
      <c r="AN295" s="39"/>
    </row>
    <row r="296" ht="15.75" customHeight="1">
      <c r="A296" s="40"/>
      <c r="T296" s="36"/>
      <c r="U296" s="36"/>
      <c r="V296" s="36"/>
      <c r="W296" s="36"/>
      <c r="X296" s="36"/>
      <c r="AB296" s="37"/>
      <c r="AC296" s="38"/>
      <c r="AN296" s="39"/>
    </row>
    <row r="297" ht="15.75" customHeight="1">
      <c r="A297" s="40"/>
      <c r="T297" s="36"/>
      <c r="U297" s="36"/>
      <c r="V297" s="36"/>
      <c r="W297" s="36"/>
      <c r="X297" s="36"/>
      <c r="AB297" s="37"/>
      <c r="AC297" s="38"/>
      <c r="AN297" s="39"/>
    </row>
    <row r="298" ht="15.75" customHeight="1">
      <c r="A298" s="40"/>
      <c r="T298" s="36"/>
      <c r="U298" s="36"/>
      <c r="V298" s="36"/>
      <c r="W298" s="36"/>
      <c r="X298" s="36"/>
      <c r="AB298" s="37"/>
      <c r="AC298" s="38"/>
      <c r="AN298" s="39"/>
    </row>
    <row r="299" ht="15.75" customHeight="1">
      <c r="A299" s="40"/>
      <c r="T299" s="36"/>
      <c r="U299" s="36"/>
      <c r="V299" s="36"/>
      <c r="W299" s="36"/>
      <c r="X299" s="36"/>
      <c r="AB299" s="37"/>
      <c r="AC299" s="38"/>
      <c r="AN299" s="39"/>
    </row>
    <row r="300" ht="15.75" customHeight="1">
      <c r="A300" s="40"/>
      <c r="T300" s="36"/>
      <c r="U300" s="36"/>
      <c r="V300" s="36"/>
      <c r="W300" s="36"/>
      <c r="X300" s="36"/>
      <c r="AB300" s="37"/>
      <c r="AC300" s="38"/>
      <c r="AN300" s="39"/>
    </row>
    <row r="301" ht="15.75" customHeight="1">
      <c r="A301" s="40"/>
      <c r="T301" s="36"/>
      <c r="U301" s="36"/>
      <c r="V301" s="36"/>
      <c r="W301" s="36"/>
      <c r="X301" s="36"/>
      <c r="AB301" s="37"/>
      <c r="AC301" s="38"/>
      <c r="AN301" s="39"/>
    </row>
    <row r="302" ht="15.75" customHeight="1">
      <c r="A302" s="40"/>
      <c r="T302" s="36"/>
      <c r="U302" s="36"/>
      <c r="V302" s="36"/>
      <c r="W302" s="36"/>
      <c r="X302" s="36"/>
      <c r="AB302" s="37"/>
      <c r="AC302" s="38"/>
      <c r="AN302" s="39"/>
    </row>
    <row r="303" ht="15.75" customHeight="1">
      <c r="A303" s="40"/>
      <c r="T303" s="36"/>
      <c r="U303" s="36"/>
      <c r="V303" s="36"/>
      <c r="W303" s="36"/>
      <c r="X303" s="36"/>
      <c r="AB303" s="37"/>
      <c r="AC303" s="38"/>
      <c r="AN303" s="39"/>
    </row>
    <row r="304" ht="15.75" customHeight="1">
      <c r="A304" s="40"/>
      <c r="T304" s="36"/>
      <c r="U304" s="36"/>
      <c r="V304" s="36"/>
      <c r="W304" s="36"/>
      <c r="X304" s="36"/>
      <c r="AB304" s="37"/>
      <c r="AC304" s="38"/>
      <c r="AN304" s="39"/>
    </row>
    <row r="305" ht="15.75" customHeight="1">
      <c r="A305" s="40"/>
      <c r="T305" s="36"/>
      <c r="U305" s="36"/>
      <c r="V305" s="36"/>
      <c r="W305" s="36"/>
      <c r="X305" s="36"/>
      <c r="AB305" s="37"/>
      <c r="AC305" s="38"/>
      <c r="AN305" s="39"/>
    </row>
    <row r="306" ht="15.75" customHeight="1">
      <c r="A306" s="40"/>
      <c r="T306" s="36"/>
      <c r="U306" s="36"/>
      <c r="V306" s="36"/>
      <c r="W306" s="36"/>
      <c r="X306" s="36"/>
      <c r="AB306" s="37"/>
      <c r="AC306" s="38"/>
      <c r="AN306" s="39"/>
    </row>
    <row r="307" ht="15.75" customHeight="1">
      <c r="A307" s="40"/>
      <c r="T307" s="36"/>
      <c r="U307" s="36"/>
      <c r="V307" s="36"/>
      <c r="W307" s="36"/>
      <c r="X307" s="36"/>
      <c r="AB307" s="37"/>
      <c r="AC307" s="38"/>
      <c r="AN307" s="39"/>
    </row>
    <row r="308" ht="15.75" customHeight="1">
      <c r="A308" s="40"/>
      <c r="T308" s="36"/>
      <c r="U308" s="36"/>
      <c r="V308" s="36"/>
      <c r="W308" s="36"/>
      <c r="X308" s="36"/>
      <c r="AB308" s="37"/>
      <c r="AC308" s="38"/>
      <c r="AN308" s="39"/>
    </row>
    <row r="309" ht="15.75" customHeight="1">
      <c r="A309" s="40"/>
      <c r="T309" s="36"/>
      <c r="U309" s="36"/>
      <c r="V309" s="36"/>
      <c r="W309" s="36"/>
      <c r="X309" s="36"/>
      <c r="AB309" s="37"/>
      <c r="AC309" s="38"/>
      <c r="AN309" s="39"/>
    </row>
    <row r="310" ht="15.75" customHeight="1">
      <c r="A310" s="40"/>
      <c r="T310" s="36"/>
      <c r="U310" s="36"/>
      <c r="V310" s="36"/>
      <c r="W310" s="36"/>
      <c r="X310" s="36"/>
      <c r="AB310" s="37"/>
      <c r="AC310" s="38"/>
      <c r="AN310" s="39"/>
    </row>
    <row r="311" ht="15.75" customHeight="1">
      <c r="A311" s="40"/>
      <c r="T311" s="36"/>
      <c r="U311" s="36"/>
      <c r="V311" s="36"/>
      <c r="W311" s="36"/>
      <c r="X311" s="36"/>
      <c r="AB311" s="37"/>
      <c r="AC311" s="38"/>
      <c r="AN311" s="39"/>
    </row>
    <row r="312" ht="15.75" customHeight="1">
      <c r="A312" s="40"/>
      <c r="T312" s="36"/>
      <c r="U312" s="36"/>
      <c r="V312" s="36"/>
      <c r="W312" s="36"/>
      <c r="X312" s="36"/>
      <c r="AB312" s="37"/>
      <c r="AC312" s="38"/>
      <c r="AN312" s="39"/>
    </row>
    <row r="313" ht="15.75" customHeight="1">
      <c r="A313" s="40"/>
      <c r="T313" s="36"/>
      <c r="U313" s="36"/>
      <c r="V313" s="36"/>
      <c r="W313" s="36"/>
      <c r="X313" s="36"/>
      <c r="AB313" s="37"/>
      <c r="AC313" s="38"/>
      <c r="AN313" s="39"/>
    </row>
    <row r="314" ht="15.75" customHeight="1">
      <c r="A314" s="40"/>
      <c r="T314" s="36"/>
      <c r="U314" s="36"/>
      <c r="V314" s="36"/>
      <c r="W314" s="36"/>
      <c r="X314" s="36"/>
      <c r="AB314" s="37"/>
      <c r="AC314" s="38"/>
      <c r="AN314" s="39"/>
    </row>
    <row r="315" ht="15.75" customHeight="1">
      <c r="A315" s="40"/>
      <c r="T315" s="36"/>
      <c r="U315" s="36"/>
      <c r="V315" s="36"/>
      <c r="W315" s="36"/>
      <c r="X315" s="36"/>
      <c r="AB315" s="37"/>
      <c r="AC315" s="38"/>
      <c r="AN315" s="39"/>
    </row>
    <row r="316" ht="15.75" customHeight="1">
      <c r="A316" s="40"/>
      <c r="T316" s="36"/>
      <c r="U316" s="36"/>
      <c r="V316" s="36"/>
      <c r="W316" s="36"/>
      <c r="X316" s="36"/>
      <c r="AB316" s="37"/>
      <c r="AC316" s="38"/>
      <c r="AN316" s="39"/>
    </row>
    <row r="317" ht="15.75" customHeight="1">
      <c r="A317" s="40"/>
      <c r="T317" s="36"/>
      <c r="U317" s="36"/>
      <c r="V317" s="36"/>
      <c r="W317" s="36"/>
      <c r="X317" s="36"/>
      <c r="AB317" s="37"/>
      <c r="AC317" s="38"/>
      <c r="AN317" s="39"/>
    </row>
    <row r="318" ht="15.75" customHeight="1">
      <c r="A318" s="40"/>
      <c r="T318" s="36"/>
      <c r="U318" s="36"/>
      <c r="V318" s="36"/>
      <c r="W318" s="36"/>
      <c r="X318" s="36"/>
      <c r="AB318" s="37"/>
      <c r="AC318" s="38"/>
      <c r="AN318" s="39"/>
    </row>
    <row r="319" ht="15.75" customHeight="1">
      <c r="A319" s="40"/>
      <c r="T319" s="36"/>
      <c r="U319" s="36"/>
      <c r="V319" s="36"/>
      <c r="W319" s="36"/>
      <c r="X319" s="36"/>
      <c r="AB319" s="37"/>
      <c r="AC319" s="38"/>
      <c r="AN319" s="39"/>
    </row>
    <row r="320" ht="15.75" customHeight="1">
      <c r="A320" s="40"/>
      <c r="T320" s="36"/>
      <c r="U320" s="36"/>
      <c r="V320" s="36"/>
      <c r="W320" s="36"/>
      <c r="X320" s="36"/>
      <c r="AB320" s="37"/>
      <c r="AC320" s="38"/>
      <c r="AN320" s="39"/>
    </row>
    <row r="321" ht="15.75" customHeight="1">
      <c r="A321" s="40"/>
      <c r="T321" s="36"/>
      <c r="U321" s="36"/>
      <c r="V321" s="36"/>
      <c r="W321" s="36"/>
      <c r="X321" s="36"/>
      <c r="AB321" s="37"/>
      <c r="AC321" s="38"/>
      <c r="AN321" s="39"/>
    </row>
    <row r="322" ht="15.75" customHeight="1">
      <c r="A322" s="40"/>
      <c r="T322" s="36"/>
      <c r="U322" s="36"/>
      <c r="V322" s="36"/>
      <c r="W322" s="36"/>
      <c r="X322" s="36"/>
      <c r="AB322" s="37"/>
      <c r="AC322" s="38"/>
      <c r="AN322" s="39"/>
    </row>
    <row r="323" ht="15.75" customHeight="1">
      <c r="A323" s="40"/>
      <c r="T323" s="36"/>
      <c r="U323" s="36"/>
      <c r="V323" s="36"/>
      <c r="W323" s="36"/>
      <c r="X323" s="36"/>
      <c r="AB323" s="37"/>
      <c r="AC323" s="38"/>
      <c r="AN323" s="39"/>
    </row>
    <row r="324" ht="15.75" customHeight="1">
      <c r="A324" s="40"/>
      <c r="T324" s="36"/>
      <c r="U324" s="36"/>
      <c r="V324" s="36"/>
      <c r="W324" s="36"/>
      <c r="X324" s="36"/>
      <c r="AB324" s="37"/>
      <c r="AC324" s="38"/>
      <c r="AN324" s="39"/>
    </row>
    <row r="325" ht="15.75" customHeight="1">
      <c r="A325" s="40"/>
      <c r="T325" s="36"/>
      <c r="U325" s="36"/>
      <c r="V325" s="36"/>
      <c r="W325" s="36"/>
      <c r="X325" s="36"/>
      <c r="AB325" s="37"/>
      <c r="AC325" s="38"/>
      <c r="AN325" s="39"/>
    </row>
    <row r="326" ht="15.75" customHeight="1">
      <c r="A326" s="40"/>
      <c r="T326" s="36"/>
      <c r="U326" s="36"/>
      <c r="V326" s="36"/>
      <c r="W326" s="36"/>
      <c r="X326" s="36"/>
      <c r="AB326" s="37"/>
      <c r="AC326" s="38"/>
      <c r="AN326" s="39"/>
    </row>
    <row r="327" ht="15.75" customHeight="1">
      <c r="A327" s="40"/>
      <c r="T327" s="36"/>
      <c r="U327" s="36"/>
      <c r="V327" s="36"/>
      <c r="W327" s="36"/>
      <c r="X327" s="36"/>
      <c r="AB327" s="37"/>
      <c r="AC327" s="38"/>
      <c r="AN327" s="39"/>
    </row>
    <row r="328" ht="15.75" customHeight="1">
      <c r="A328" s="40"/>
      <c r="T328" s="36"/>
      <c r="U328" s="36"/>
      <c r="V328" s="36"/>
      <c r="W328" s="36"/>
      <c r="X328" s="36"/>
      <c r="AB328" s="37"/>
      <c r="AC328" s="38"/>
      <c r="AN328" s="39"/>
    </row>
    <row r="329" ht="15.75" customHeight="1">
      <c r="A329" s="40"/>
      <c r="T329" s="36"/>
      <c r="U329" s="36"/>
      <c r="V329" s="36"/>
      <c r="W329" s="36"/>
      <c r="X329" s="36"/>
      <c r="AB329" s="37"/>
      <c r="AC329" s="38"/>
      <c r="AN329" s="39"/>
    </row>
    <row r="330" ht="15.75" customHeight="1">
      <c r="A330" s="40"/>
      <c r="T330" s="36"/>
      <c r="U330" s="36"/>
      <c r="V330" s="36"/>
      <c r="W330" s="36"/>
      <c r="X330" s="36"/>
      <c r="AB330" s="37"/>
      <c r="AC330" s="38"/>
      <c r="AN330" s="39"/>
    </row>
    <row r="331" ht="15.75" customHeight="1">
      <c r="A331" s="40"/>
      <c r="T331" s="36"/>
      <c r="U331" s="36"/>
      <c r="V331" s="36"/>
      <c r="W331" s="36"/>
      <c r="X331" s="36"/>
      <c r="AB331" s="37"/>
      <c r="AC331" s="38"/>
      <c r="AN331" s="39"/>
    </row>
    <row r="332" ht="15.75" customHeight="1">
      <c r="A332" s="40"/>
      <c r="T332" s="36"/>
      <c r="U332" s="36"/>
      <c r="V332" s="36"/>
      <c r="W332" s="36"/>
      <c r="X332" s="36"/>
      <c r="AB332" s="37"/>
      <c r="AC332" s="38"/>
      <c r="AN332" s="39"/>
    </row>
    <row r="333" ht="15.75" customHeight="1">
      <c r="A333" s="40"/>
      <c r="T333" s="36"/>
      <c r="U333" s="36"/>
      <c r="V333" s="36"/>
      <c r="W333" s="36"/>
      <c r="X333" s="36"/>
      <c r="AB333" s="37"/>
      <c r="AC333" s="38"/>
      <c r="AN333" s="39"/>
    </row>
    <row r="334" ht="15.75" customHeight="1">
      <c r="A334" s="40"/>
      <c r="T334" s="36"/>
      <c r="U334" s="36"/>
      <c r="V334" s="36"/>
      <c r="W334" s="36"/>
      <c r="X334" s="36"/>
      <c r="AB334" s="37"/>
      <c r="AC334" s="38"/>
      <c r="AN334" s="39"/>
    </row>
    <row r="335" ht="15.75" customHeight="1">
      <c r="A335" s="40"/>
      <c r="T335" s="36"/>
      <c r="U335" s="36"/>
      <c r="V335" s="36"/>
      <c r="W335" s="36"/>
      <c r="X335" s="36"/>
      <c r="AB335" s="37"/>
      <c r="AC335" s="38"/>
      <c r="AN335" s="39"/>
    </row>
    <row r="336" ht="15.75" customHeight="1">
      <c r="A336" s="40"/>
      <c r="T336" s="36"/>
      <c r="U336" s="36"/>
      <c r="V336" s="36"/>
      <c r="W336" s="36"/>
      <c r="X336" s="36"/>
      <c r="AB336" s="37"/>
      <c r="AC336" s="38"/>
      <c r="AN336" s="39"/>
    </row>
    <row r="337" ht="15.75" customHeight="1">
      <c r="A337" s="40"/>
      <c r="T337" s="36"/>
      <c r="U337" s="36"/>
      <c r="V337" s="36"/>
      <c r="W337" s="36"/>
      <c r="X337" s="36"/>
      <c r="AB337" s="37"/>
      <c r="AC337" s="38"/>
      <c r="AN337" s="39"/>
    </row>
    <row r="338" ht="15.75" customHeight="1">
      <c r="A338" s="40"/>
      <c r="T338" s="36"/>
      <c r="U338" s="36"/>
      <c r="V338" s="36"/>
      <c r="W338" s="36"/>
      <c r="X338" s="36"/>
      <c r="AB338" s="37"/>
      <c r="AC338" s="38"/>
      <c r="AN338" s="39"/>
    </row>
    <row r="339" ht="15.75" customHeight="1">
      <c r="A339" s="40"/>
      <c r="T339" s="36"/>
      <c r="U339" s="36"/>
      <c r="V339" s="36"/>
      <c r="W339" s="36"/>
      <c r="X339" s="36"/>
      <c r="AB339" s="37"/>
      <c r="AC339" s="38"/>
      <c r="AN339" s="39"/>
    </row>
    <row r="340" ht="15.75" customHeight="1">
      <c r="A340" s="40"/>
      <c r="T340" s="36"/>
      <c r="U340" s="36"/>
      <c r="V340" s="36"/>
      <c r="W340" s="36"/>
      <c r="X340" s="36"/>
      <c r="AB340" s="37"/>
      <c r="AC340" s="38"/>
      <c r="AN340" s="39"/>
    </row>
    <row r="341" ht="15.75" customHeight="1">
      <c r="A341" s="40"/>
      <c r="T341" s="36"/>
      <c r="U341" s="36"/>
      <c r="V341" s="36"/>
      <c r="W341" s="36"/>
      <c r="X341" s="36"/>
      <c r="AB341" s="37"/>
      <c r="AC341" s="38"/>
      <c r="AN341" s="39"/>
    </row>
    <row r="342" ht="15.75" customHeight="1">
      <c r="A342" s="40"/>
      <c r="T342" s="36"/>
      <c r="U342" s="36"/>
      <c r="V342" s="36"/>
      <c r="W342" s="36"/>
      <c r="X342" s="36"/>
      <c r="AB342" s="37"/>
      <c r="AC342" s="38"/>
      <c r="AN342" s="39"/>
    </row>
    <row r="343" ht="15.75" customHeight="1">
      <c r="A343" s="40"/>
      <c r="T343" s="36"/>
      <c r="U343" s="36"/>
      <c r="V343" s="36"/>
      <c r="W343" s="36"/>
      <c r="X343" s="36"/>
      <c r="AB343" s="37"/>
      <c r="AC343" s="38"/>
      <c r="AN343" s="39"/>
    </row>
    <row r="344" ht="15.75" customHeight="1">
      <c r="A344" s="40"/>
      <c r="T344" s="36"/>
      <c r="U344" s="36"/>
      <c r="V344" s="36"/>
      <c r="W344" s="36"/>
      <c r="X344" s="36"/>
      <c r="AB344" s="37"/>
      <c r="AC344" s="38"/>
      <c r="AN344" s="39"/>
    </row>
    <row r="345" ht="15.75" customHeight="1">
      <c r="A345" s="40"/>
      <c r="T345" s="36"/>
      <c r="U345" s="36"/>
      <c r="V345" s="36"/>
      <c r="W345" s="36"/>
      <c r="X345" s="36"/>
      <c r="AB345" s="37"/>
      <c r="AC345" s="38"/>
      <c r="AN345" s="39"/>
    </row>
    <row r="346" ht="15.75" customHeight="1">
      <c r="A346" s="40"/>
      <c r="T346" s="36"/>
      <c r="U346" s="36"/>
      <c r="V346" s="36"/>
      <c r="W346" s="36"/>
      <c r="X346" s="36"/>
      <c r="AB346" s="37"/>
      <c r="AC346" s="38"/>
      <c r="AN346" s="39"/>
    </row>
    <row r="347" ht="15.75" customHeight="1">
      <c r="A347" s="40"/>
      <c r="T347" s="36"/>
      <c r="U347" s="36"/>
      <c r="V347" s="36"/>
      <c r="W347" s="36"/>
      <c r="X347" s="36"/>
      <c r="AB347" s="37"/>
      <c r="AC347" s="38"/>
      <c r="AN347" s="39"/>
    </row>
    <row r="348" ht="15.75" customHeight="1">
      <c r="A348" s="40"/>
      <c r="T348" s="36"/>
      <c r="U348" s="36"/>
      <c r="V348" s="36"/>
      <c r="W348" s="36"/>
      <c r="X348" s="36"/>
      <c r="AB348" s="37"/>
      <c r="AC348" s="38"/>
      <c r="AN348" s="39"/>
    </row>
    <row r="349" ht="15.75" customHeight="1">
      <c r="A349" s="40"/>
      <c r="T349" s="36"/>
      <c r="U349" s="36"/>
      <c r="V349" s="36"/>
      <c r="W349" s="36"/>
      <c r="X349" s="36"/>
      <c r="AB349" s="37"/>
      <c r="AC349" s="38"/>
      <c r="AN349" s="39"/>
    </row>
    <row r="350" ht="15.75" customHeight="1">
      <c r="A350" s="40"/>
      <c r="T350" s="36"/>
      <c r="U350" s="36"/>
      <c r="V350" s="36"/>
      <c r="W350" s="36"/>
      <c r="X350" s="36"/>
      <c r="AB350" s="37"/>
      <c r="AC350" s="38"/>
      <c r="AN350" s="39"/>
    </row>
    <row r="351" ht="15.75" customHeight="1">
      <c r="A351" s="40"/>
      <c r="T351" s="36"/>
      <c r="U351" s="36"/>
      <c r="V351" s="36"/>
      <c r="W351" s="36"/>
      <c r="X351" s="36"/>
      <c r="AB351" s="37"/>
      <c r="AC351" s="38"/>
      <c r="AN351" s="39"/>
    </row>
    <row r="352" ht="15.75" customHeight="1">
      <c r="A352" s="40"/>
      <c r="T352" s="36"/>
      <c r="U352" s="36"/>
      <c r="V352" s="36"/>
      <c r="W352" s="36"/>
      <c r="X352" s="36"/>
      <c r="AB352" s="37"/>
      <c r="AC352" s="38"/>
      <c r="AN352" s="39"/>
    </row>
    <row r="353" ht="15.75" customHeight="1">
      <c r="A353" s="40"/>
      <c r="T353" s="36"/>
      <c r="U353" s="36"/>
      <c r="V353" s="36"/>
      <c r="W353" s="36"/>
      <c r="X353" s="36"/>
      <c r="AB353" s="37"/>
      <c r="AC353" s="38"/>
      <c r="AN353" s="39"/>
    </row>
    <row r="354" ht="15.75" customHeight="1">
      <c r="A354" s="40"/>
      <c r="T354" s="36"/>
      <c r="U354" s="36"/>
      <c r="V354" s="36"/>
      <c r="W354" s="36"/>
      <c r="X354" s="36"/>
      <c r="AB354" s="37"/>
      <c r="AC354" s="38"/>
      <c r="AN354" s="39"/>
    </row>
    <row r="355" ht="15.75" customHeight="1">
      <c r="A355" s="40"/>
      <c r="T355" s="36"/>
      <c r="U355" s="36"/>
      <c r="V355" s="36"/>
      <c r="W355" s="36"/>
      <c r="X355" s="36"/>
      <c r="AB355" s="37"/>
      <c r="AC355" s="38"/>
      <c r="AN355" s="39"/>
    </row>
    <row r="356" ht="15.75" customHeight="1">
      <c r="A356" s="40"/>
      <c r="T356" s="36"/>
      <c r="U356" s="36"/>
      <c r="V356" s="36"/>
      <c r="W356" s="36"/>
      <c r="X356" s="36"/>
      <c r="AB356" s="37"/>
      <c r="AC356" s="38"/>
      <c r="AN356" s="39"/>
    </row>
    <row r="357" ht="15.75" customHeight="1">
      <c r="A357" s="40"/>
      <c r="T357" s="36"/>
      <c r="U357" s="36"/>
      <c r="V357" s="36"/>
      <c r="W357" s="36"/>
      <c r="X357" s="36"/>
      <c r="AB357" s="37"/>
      <c r="AC357" s="38"/>
      <c r="AN357" s="39"/>
    </row>
    <row r="358" ht="15.75" customHeight="1">
      <c r="A358" s="40"/>
      <c r="T358" s="36"/>
      <c r="U358" s="36"/>
      <c r="V358" s="36"/>
      <c r="W358" s="36"/>
      <c r="X358" s="36"/>
      <c r="AB358" s="37"/>
      <c r="AC358" s="38"/>
      <c r="AN358" s="39"/>
    </row>
    <row r="359" ht="15.75" customHeight="1">
      <c r="A359" s="40"/>
      <c r="T359" s="36"/>
      <c r="U359" s="36"/>
      <c r="V359" s="36"/>
      <c r="W359" s="36"/>
      <c r="X359" s="36"/>
      <c r="AB359" s="37"/>
      <c r="AC359" s="38"/>
      <c r="AN359" s="39"/>
    </row>
    <row r="360" ht="15.75" customHeight="1">
      <c r="A360" s="40"/>
      <c r="T360" s="36"/>
      <c r="U360" s="36"/>
      <c r="V360" s="36"/>
      <c r="W360" s="36"/>
      <c r="X360" s="36"/>
      <c r="AB360" s="37"/>
      <c r="AC360" s="38"/>
      <c r="AN360" s="39"/>
    </row>
    <row r="361" ht="15.75" customHeight="1">
      <c r="A361" s="40"/>
      <c r="T361" s="36"/>
      <c r="U361" s="36"/>
      <c r="V361" s="36"/>
      <c r="W361" s="36"/>
      <c r="X361" s="36"/>
      <c r="AB361" s="37"/>
      <c r="AC361" s="38"/>
      <c r="AN361" s="39"/>
    </row>
    <row r="362" ht="15.75" customHeight="1">
      <c r="A362" s="40"/>
      <c r="T362" s="36"/>
      <c r="U362" s="36"/>
      <c r="V362" s="36"/>
      <c r="W362" s="36"/>
      <c r="X362" s="36"/>
      <c r="AB362" s="37"/>
      <c r="AC362" s="38"/>
      <c r="AN362" s="39"/>
    </row>
    <row r="363" ht="15.75" customHeight="1">
      <c r="A363" s="40"/>
      <c r="T363" s="36"/>
      <c r="U363" s="36"/>
      <c r="V363" s="36"/>
      <c r="W363" s="36"/>
      <c r="X363" s="36"/>
      <c r="AB363" s="37"/>
      <c r="AC363" s="38"/>
      <c r="AN363" s="39"/>
    </row>
    <row r="364" ht="15.75" customHeight="1">
      <c r="A364" s="40"/>
      <c r="T364" s="36"/>
      <c r="U364" s="36"/>
      <c r="V364" s="36"/>
      <c r="W364" s="36"/>
      <c r="X364" s="36"/>
      <c r="AB364" s="37"/>
      <c r="AC364" s="38"/>
      <c r="AN364" s="39"/>
    </row>
    <row r="365" ht="15.75" customHeight="1">
      <c r="A365" s="40"/>
      <c r="T365" s="36"/>
      <c r="U365" s="36"/>
      <c r="V365" s="36"/>
      <c r="W365" s="36"/>
      <c r="X365" s="36"/>
      <c r="AB365" s="37"/>
      <c r="AC365" s="38"/>
      <c r="AN365" s="39"/>
    </row>
    <row r="366" ht="15.75" customHeight="1">
      <c r="A366" s="40"/>
      <c r="T366" s="36"/>
      <c r="U366" s="36"/>
      <c r="V366" s="36"/>
      <c r="W366" s="36"/>
      <c r="X366" s="36"/>
      <c r="AB366" s="37"/>
      <c r="AC366" s="38"/>
      <c r="AN366" s="39"/>
    </row>
    <row r="367" ht="15.75" customHeight="1">
      <c r="A367" s="40"/>
      <c r="T367" s="36"/>
      <c r="U367" s="36"/>
      <c r="V367" s="36"/>
      <c r="W367" s="36"/>
      <c r="X367" s="36"/>
      <c r="AB367" s="37"/>
      <c r="AC367" s="38"/>
      <c r="AN367" s="39"/>
    </row>
    <row r="368" ht="15.75" customHeight="1">
      <c r="A368" s="40"/>
      <c r="T368" s="36"/>
      <c r="U368" s="36"/>
      <c r="V368" s="36"/>
      <c r="W368" s="36"/>
      <c r="X368" s="36"/>
      <c r="AB368" s="37"/>
      <c r="AC368" s="38"/>
      <c r="AN368" s="39"/>
    </row>
    <row r="369" ht="15.75" customHeight="1">
      <c r="A369" s="40"/>
      <c r="T369" s="36"/>
      <c r="U369" s="36"/>
      <c r="V369" s="36"/>
      <c r="W369" s="36"/>
      <c r="X369" s="36"/>
      <c r="AB369" s="37"/>
      <c r="AC369" s="38"/>
      <c r="AN369" s="39"/>
    </row>
    <row r="370" ht="15.75" customHeight="1">
      <c r="A370" s="40"/>
      <c r="T370" s="36"/>
      <c r="U370" s="36"/>
      <c r="V370" s="36"/>
      <c r="W370" s="36"/>
      <c r="X370" s="36"/>
      <c r="AB370" s="37"/>
      <c r="AC370" s="38"/>
      <c r="AN370" s="39"/>
    </row>
    <row r="371" ht="15.75" customHeight="1">
      <c r="A371" s="40"/>
      <c r="T371" s="36"/>
      <c r="U371" s="36"/>
      <c r="V371" s="36"/>
      <c r="W371" s="36"/>
      <c r="X371" s="36"/>
      <c r="AB371" s="37"/>
      <c r="AC371" s="38"/>
      <c r="AN371" s="39"/>
    </row>
    <row r="372" ht="15.75" customHeight="1">
      <c r="A372" s="40"/>
      <c r="T372" s="36"/>
      <c r="U372" s="36"/>
      <c r="V372" s="36"/>
      <c r="W372" s="36"/>
      <c r="X372" s="36"/>
      <c r="AB372" s="37"/>
      <c r="AC372" s="38"/>
      <c r="AN372" s="39"/>
    </row>
    <row r="373" ht="15.75" customHeight="1">
      <c r="A373" s="40"/>
      <c r="T373" s="36"/>
      <c r="U373" s="36"/>
      <c r="V373" s="36"/>
      <c r="W373" s="36"/>
      <c r="X373" s="36"/>
      <c r="AB373" s="37"/>
      <c r="AC373" s="38"/>
      <c r="AN373" s="39"/>
    </row>
    <row r="374" ht="15.75" customHeight="1">
      <c r="A374" s="40"/>
      <c r="T374" s="36"/>
      <c r="U374" s="36"/>
      <c r="V374" s="36"/>
      <c r="W374" s="36"/>
      <c r="X374" s="36"/>
      <c r="AB374" s="37"/>
      <c r="AC374" s="38"/>
      <c r="AN374" s="39"/>
    </row>
    <row r="375" ht="15.75" customHeight="1">
      <c r="A375" s="40"/>
      <c r="T375" s="36"/>
      <c r="U375" s="36"/>
      <c r="V375" s="36"/>
      <c r="W375" s="36"/>
      <c r="X375" s="36"/>
      <c r="AB375" s="37"/>
      <c r="AC375" s="38"/>
      <c r="AN375" s="39"/>
    </row>
    <row r="376" ht="15.75" customHeight="1">
      <c r="A376" s="40"/>
      <c r="T376" s="36"/>
      <c r="U376" s="36"/>
      <c r="V376" s="36"/>
      <c r="W376" s="36"/>
      <c r="X376" s="36"/>
      <c r="AB376" s="37"/>
      <c r="AC376" s="38"/>
      <c r="AN376" s="39"/>
    </row>
    <row r="377" ht="15.75" customHeight="1">
      <c r="A377" s="40"/>
      <c r="T377" s="36"/>
      <c r="U377" s="36"/>
      <c r="V377" s="36"/>
      <c r="W377" s="36"/>
      <c r="X377" s="36"/>
      <c r="AB377" s="37"/>
      <c r="AC377" s="38"/>
      <c r="AN377" s="39"/>
    </row>
    <row r="378" ht="15.75" customHeight="1">
      <c r="A378" s="40"/>
      <c r="T378" s="36"/>
      <c r="U378" s="36"/>
      <c r="V378" s="36"/>
      <c r="W378" s="36"/>
      <c r="X378" s="36"/>
      <c r="AB378" s="37"/>
      <c r="AC378" s="38"/>
      <c r="AN378" s="39"/>
    </row>
    <row r="379" ht="15.75" customHeight="1">
      <c r="A379" s="40"/>
      <c r="T379" s="36"/>
      <c r="U379" s="36"/>
      <c r="V379" s="36"/>
      <c r="W379" s="36"/>
      <c r="X379" s="36"/>
      <c r="AB379" s="37"/>
      <c r="AC379" s="38"/>
      <c r="AN379" s="39"/>
    </row>
    <row r="380" ht="15.75" customHeight="1">
      <c r="A380" s="40"/>
      <c r="T380" s="36"/>
      <c r="U380" s="36"/>
      <c r="V380" s="36"/>
      <c r="W380" s="36"/>
      <c r="X380" s="36"/>
      <c r="AB380" s="37"/>
      <c r="AC380" s="38"/>
      <c r="AN380" s="39"/>
    </row>
    <row r="381" ht="15.75" customHeight="1">
      <c r="A381" s="40"/>
      <c r="T381" s="36"/>
      <c r="U381" s="36"/>
      <c r="V381" s="36"/>
      <c r="W381" s="36"/>
      <c r="X381" s="36"/>
      <c r="AB381" s="37"/>
      <c r="AC381" s="38"/>
      <c r="AN381" s="39"/>
    </row>
    <row r="382" ht="15.75" customHeight="1">
      <c r="A382" s="40"/>
      <c r="T382" s="36"/>
      <c r="U382" s="36"/>
      <c r="V382" s="36"/>
      <c r="W382" s="36"/>
      <c r="X382" s="36"/>
      <c r="AB382" s="37"/>
      <c r="AC382" s="38"/>
      <c r="AN382" s="39"/>
    </row>
    <row r="383" ht="15.75" customHeight="1">
      <c r="A383" s="40"/>
      <c r="T383" s="36"/>
      <c r="U383" s="36"/>
      <c r="V383" s="36"/>
      <c r="W383" s="36"/>
      <c r="X383" s="36"/>
      <c r="AB383" s="37"/>
      <c r="AC383" s="38"/>
      <c r="AN383" s="39"/>
    </row>
    <row r="384" ht="15.75" customHeight="1">
      <c r="A384" s="40"/>
      <c r="T384" s="36"/>
      <c r="U384" s="36"/>
      <c r="V384" s="36"/>
      <c r="W384" s="36"/>
      <c r="X384" s="36"/>
      <c r="AB384" s="37"/>
      <c r="AC384" s="38"/>
      <c r="AN384" s="39"/>
    </row>
    <row r="385" ht="15.75" customHeight="1">
      <c r="A385" s="40"/>
      <c r="T385" s="36"/>
      <c r="U385" s="36"/>
      <c r="V385" s="36"/>
      <c r="W385" s="36"/>
      <c r="X385" s="36"/>
      <c r="AB385" s="37"/>
      <c r="AC385" s="38"/>
      <c r="AN385" s="39"/>
    </row>
    <row r="386" ht="15.75" customHeight="1">
      <c r="A386" s="40"/>
      <c r="T386" s="36"/>
      <c r="U386" s="36"/>
      <c r="V386" s="36"/>
      <c r="W386" s="36"/>
      <c r="X386" s="36"/>
      <c r="AB386" s="37"/>
      <c r="AC386" s="38"/>
      <c r="AN386" s="39"/>
    </row>
    <row r="387" ht="15.75" customHeight="1">
      <c r="A387" s="40"/>
      <c r="T387" s="36"/>
      <c r="U387" s="36"/>
      <c r="V387" s="36"/>
      <c r="W387" s="36"/>
      <c r="X387" s="36"/>
      <c r="AB387" s="37"/>
      <c r="AC387" s="38"/>
      <c r="AN387" s="39"/>
    </row>
    <row r="388" ht="15.75" customHeight="1">
      <c r="A388" s="40"/>
      <c r="T388" s="36"/>
      <c r="U388" s="36"/>
      <c r="V388" s="36"/>
      <c r="W388" s="36"/>
      <c r="X388" s="36"/>
      <c r="AB388" s="37"/>
      <c r="AC388" s="38"/>
      <c r="AN388" s="39"/>
    </row>
    <row r="389" ht="15.75" customHeight="1">
      <c r="A389" s="40"/>
      <c r="T389" s="36"/>
      <c r="U389" s="36"/>
      <c r="V389" s="36"/>
      <c r="W389" s="36"/>
      <c r="X389" s="36"/>
      <c r="AB389" s="37"/>
      <c r="AC389" s="38"/>
      <c r="AN389" s="39"/>
    </row>
    <row r="390" ht="15.75" customHeight="1">
      <c r="A390" s="40"/>
      <c r="T390" s="36"/>
      <c r="U390" s="36"/>
      <c r="V390" s="36"/>
      <c r="W390" s="36"/>
      <c r="X390" s="36"/>
      <c r="AB390" s="37"/>
      <c r="AC390" s="38"/>
      <c r="AN390" s="39"/>
    </row>
    <row r="391" ht="15.75" customHeight="1">
      <c r="A391" s="40"/>
      <c r="T391" s="36"/>
      <c r="U391" s="36"/>
      <c r="V391" s="36"/>
      <c r="W391" s="36"/>
      <c r="X391" s="36"/>
      <c r="AB391" s="37"/>
      <c r="AC391" s="38"/>
      <c r="AN391" s="39"/>
    </row>
    <row r="392" ht="15.75" customHeight="1">
      <c r="A392" s="40"/>
      <c r="T392" s="36"/>
      <c r="U392" s="36"/>
      <c r="V392" s="36"/>
      <c r="W392" s="36"/>
      <c r="X392" s="36"/>
      <c r="AB392" s="37"/>
      <c r="AC392" s="38"/>
      <c r="AN392" s="39"/>
    </row>
    <row r="393" ht="15.75" customHeight="1">
      <c r="A393" s="40"/>
      <c r="T393" s="36"/>
      <c r="U393" s="36"/>
      <c r="V393" s="36"/>
      <c r="W393" s="36"/>
      <c r="X393" s="36"/>
      <c r="AB393" s="37"/>
      <c r="AC393" s="38"/>
      <c r="AN393" s="39"/>
    </row>
    <row r="394" ht="15.75" customHeight="1">
      <c r="A394" s="40"/>
      <c r="T394" s="36"/>
      <c r="U394" s="36"/>
      <c r="V394" s="36"/>
      <c r="W394" s="36"/>
      <c r="X394" s="36"/>
      <c r="AB394" s="37"/>
      <c r="AC394" s="38"/>
      <c r="AN394" s="39"/>
    </row>
    <row r="395" ht="15.75" customHeight="1">
      <c r="A395" s="40"/>
      <c r="T395" s="36"/>
      <c r="U395" s="36"/>
      <c r="V395" s="36"/>
      <c r="W395" s="36"/>
      <c r="X395" s="36"/>
      <c r="AB395" s="37"/>
      <c r="AC395" s="38"/>
      <c r="AN395" s="39"/>
    </row>
    <row r="396" ht="15.75" customHeight="1">
      <c r="A396" s="40"/>
      <c r="T396" s="36"/>
      <c r="U396" s="36"/>
      <c r="V396" s="36"/>
      <c r="W396" s="36"/>
      <c r="X396" s="36"/>
      <c r="AB396" s="37"/>
      <c r="AC396" s="38"/>
      <c r="AN396" s="39"/>
    </row>
    <row r="397" ht="15.75" customHeight="1">
      <c r="A397" s="40"/>
      <c r="T397" s="36"/>
      <c r="U397" s="36"/>
      <c r="V397" s="36"/>
      <c r="W397" s="36"/>
      <c r="X397" s="36"/>
      <c r="AB397" s="37"/>
      <c r="AC397" s="38"/>
      <c r="AN397" s="39"/>
    </row>
    <row r="398" ht="15.75" customHeight="1">
      <c r="A398" s="40"/>
      <c r="T398" s="36"/>
      <c r="U398" s="36"/>
      <c r="V398" s="36"/>
      <c r="W398" s="36"/>
      <c r="X398" s="36"/>
      <c r="AB398" s="37"/>
      <c r="AC398" s="38"/>
      <c r="AN398" s="39"/>
    </row>
    <row r="399" ht="15.75" customHeight="1">
      <c r="A399" s="40"/>
      <c r="T399" s="36"/>
      <c r="U399" s="36"/>
      <c r="V399" s="36"/>
      <c r="W399" s="36"/>
      <c r="X399" s="36"/>
      <c r="AB399" s="37"/>
      <c r="AC399" s="38"/>
      <c r="AN399" s="39"/>
    </row>
    <row r="400" ht="15.75" customHeight="1">
      <c r="A400" s="40"/>
      <c r="T400" s="36"/>
      <c r="U400" s="36"/>
      <c r="V400" s="36"/>
      <c r="W400" s="36"/>
      <c r="X400" s="36"/>
      <c r="AB400" s="37"/>
      <c r="AC400" s="38"/>
      <c r="AN400" s="39"/>
    </row>
    <row r="401" ht="15.75" customHeight="1">
      <c r="A401" s="40"/>
      <c r="T401" s="36"/>
      <c r="U401" s="36"/>
      <c r="V401" s="36"/>
      <c r="W401" s="36"/>
      <c r="X401" s="36"/>
      <c r="AB401" s="37"/>
      <c r="AC401" s="38"/>
      <c r="AN401" s="39"/>
    </row>
    <row r="402" ht="15.75" customHeight="1">
      <c r="A402" s="40"/>
      <c r="T402" s="36"/>
      <c r="U402" s="36"/>
      <c r="V402" s="36"/>
      <c r="W402" s="36"/>
      <c r="X402" s="36"/>
      <c r="AB402" s="37"/>
      <c r="AC402" s="38"/>
      <c r="AN402" s="39"/>
    </row>
    <row r="403" ht="15.75" customHeight="1">
      <c r="A403" s="40"/>
      <c r="T403" s="36"/>
      <c r="U403" s="36"/>
      <c r="V403" s="36"/>
      <c r="W403" s="36"/>
      <c r="X403" s="36"/>
      <c r="AB403" s="37"/>
      <c r="AC403" s="38"/>
      <c r="AN403" s="39"/>
    </row>
    <row r="404" ht="15.75" customHeight="1">
      <c r="A404" s="40"/>
      <c r="T404" s="36"/>
      <c r="U404" s="36"/>
      <c r="V404" s="36"/>
      <c r="W404" s="36"/>
      <c r="X404" s="36"/>
      <c r="AB404" s="37"/>
      <c r="AC404" s="38"/>
      <c r="AN404" s="39"/>
    </row>
    <row r="405" ht="15.75" customHeight="1">
      <c r="A405" s="40"/>
      <c r="T405" s="36"/>
      <c r="U405" s="36"/>
      <c r="V405" s="36"/>
      <c r="W405" s="36"/>
      <c r="X405" s="36"/>
      <c r="AB405" s="37"/>
      <c r="AC405" s="38"/>
      <c r="AN405" s="39"/>
    </row>
    <row r="406" ht="15.75" customHeight="1">
      <c r="A406" s="40"/>
      <c r="T406" s="36"/>
      <c r="U406" s="36"/>
      <c r="V406" s="36"/>
      <c r="W406" s="36"/>
      <c r="X406" s="36"/>
      <c r="AB406" s="37"/>
      <c r="AC406" s="38"/>
      <c r="AN406" s="39"/>
    </row>
    <row r="407" ht="15.75" customHeight="1">
      <c r="A407" s="40"/>
      <c r="T407" s="36"/>
      <c r="U407" s="36"/>
      <c r="V407" s="36"/>
      <c r="W407" s="36"/>
      <c r="X407" s="36"/>
      <c r="AB407" s="37"/>
      <c r="AC407" s="38"/>
      <c r="AN407" s="39"/>
    </row>
    <row r="408" ht="15.75" customHeight="1">
      <c r="A408" s="40"/>
      <c r="T408" s="36"/>
      <c r="U408" s="36"/>
      <c r="V408" s="36"/>
      <c r="W408" s="36"/>
      <c r="X408" s="36"/>
      <c r="AB408" s="37"/>
      <c r="AC408" s="38"/>
      <c r="AN408" s="39"/>
    </row>
    <row r="409" ht="15.75" customHeight="1">
      <c r="A409" s="40"/>
      <c r="T409" s="36"/>
      <c r="U409" s="36"/>
      <c r="V409" s="36"/>
      <c r="W409" s="36"/>
      <c r="X409" s="36"/>
      <c r="AB409" s="37"/>
      <c r="AC409" s="38"/>
      <c r="AN409" s="39"/>
    </row>
    <row r="410" ht="15.75" customHeight="1">
      <c r="A410" s="40"/>
      <c r="T410" s="36"/>
      <c r="U410" s="36"/>
      <c r="V410" s="36"/>
      <c r="W410" s="36"/>
      <c r="X410" s="36"/>
      <c r="AB410" s="37"/>
      <c r="AC410" s="38"/>
      <c r="AN410" s="39"/>
    </row>
    <row r="411" ht="15.75" customHeight="1">
      <c r="A411" s="40"/>
      <c r="T411" s="36"/>
      <c r="U411" s="36"/>
      <c r="V411" s="36"/>
      <c r="W411" s="36"/>
      <c r="X411" s="36"/>
      <c r="AB411" s="37"/>
      <c r="AC411" s="38"/>
      <c r="AN411" s="39"/>
    </row>
    <row r="412" ht="15.75" customHeight="1">
      <c r="A412" s="40"/>
      <c r="T412" s="36"/>
      <c r="U412" s="36"/>
      <c r="V412" s="36"/>
      <c r="W412" s="36"/>
      <c r="X412" s="36"/>
      <c r="AB412" s="37"/>
      <c r="AC412" s="38"/>
      <c r="AN412" s="39"/>
    </row>
    <row r="413" ht="15.75" customHeight="1">
      <c r="A413" s="40"/>
      <c r="T413" s="36"/>
      <c r="U413" s="36"/>
      <c r="V413" s="36"/>
      <c r="W413" s="36"/>
      <c r="X413" s="36"/>
      <c r="AB413" s="37"/>
      <c r="AC413" s="38"/>
      <c r="AN413" s="39"/>
    </row>
    <row r="414" ht="15.75" customHeight="1">
      <c r="A414" s="40"/>
      <c r="T414" s="36"/>
      <c r="U414" s="36"/>
      <c r="V414" s="36"/>
      <c r="W414" s="36"/>
      <c r="X414" s="36"/>
      <c r="AB414" s="37"/>
      <c r="AC414" s="38"/>
      <c r="AN414" s="39"/>
    </row>
    <row r="415" ht="15.75" customHeight="1">
      <c r="A415" s="40"/>
      <c r="T415" s="36"/>
      <c r="U415" s="36"/>
      <c r="V415" s="36"/>
      <c r="W415" s="36"/>
      <c r="X415" s="36"/>
      <c r="AB415" s="37"/>
      <c r="AC415" s="38"/>
      <c r="AN415" s="39"/>
    </row>
    <row r="416" ht="15.75" customHeight="1">
      <c r="A416" s="40"/>
      <c r="T416" s="36"/>
      <c r="U416" s="36"/>
      <c r="V416" s="36"/>
      <c r="W416" s="36"/>
      <c r="X416" s="36"/>
      <c r="AB416" s="37"/>
      <c r="AC416" s="38"/>
      <c r="AN416" s="39"/>
    </row>
    <row r="417" ht="15.75" customHeight="1">
      <c r="A417" s="40"/>
      <c r="T417" s="36"/>
      <c r="U417" s="36"/>
      <c r="V417" s="36"/>
      <c r="W417" s="36"/>
      <c r="X417" s="36"/>
      <c r="AB417" s="37"/>
      <c r="AC417" s="38"/>
      <c r="AN417" s="39"/>
    </row>
    <row r="418" ht="15.75" customHeight="1">
      <c r="A418" s="40"/>
      <c r="T418" s="36"/>
      <c r="U418" s="36"/>
      <c r="V418" s="36"/>
      <c r="W418" s="36"/>
      <c r="X418" s="36"/>
      <c r="AB418" s="37"/>
      <c r="AC418" s="38"/>
      <c r="AN418" s="39"/>
    </row>
    <row r="419" ht="15.75" customHeight="1">
      <c r="A419" s="40"/>
      <c r="T419" s="36"/>
      <c r="U419" s="36"/>
      <c r="V419" s="36"/>
      <c r="W419" s="36"/>
      <c r="X419" s="36"/>
      <c r="AB419" s="37"/>
      <c r="AC419" s="38"/>
      <c r="AN419" s="39"/>
    </row>
    <row r="420" ht="15.75" customHeight="1">
      <c r="A420" s="40"/>
      <c r="T420" s="36"/>
      <c r="U420" s="36"/>
      <c r="V420" s="36"/>
      <c r="W420" s="36"/>
      <c r="X420" s="36"/>
      <c r="AB420" s="37"/>
      <c r="AC420" s="38"/>
      <c r="AN420" s="39"/>
    </row>
    <row r="421" ht="15.75" customHeight="1">
      <c r="A421" s="40"/>
      <c r="T421" s="36"/>
      <c r="U421" s="36"/>
      <c r="V421" s="36"/>
      <c r="W421" s="36"/>
      <c r="X421" s="36"/>
      <c r="AB421" s="37"/>
      <c r="AC421" s="38"/>
      <c r="AN421" s="39"/>
    </row>
    <row r="422" ht="15.75" customHeight="1">
      <c r="A422" s="40"/>
      <c r="T422" s="36"/>
      <c r="U422" s="36"/>
      <c r="V422" s="36"/>
      <c r="W422" s="36"/>
      <c r="X422" s="36"/>
      <c r="AB422" s="37"/>
      <c r="AC422" s="38"/>
      <c r="AN422" s="39"/>
    </row>
    <row r="423" ht="15.75" customHeight="1">
      <c r="A423" s="40"/>
      <c r="T423" s="36"/>
      <c r="U423" s="36"/>
      <c r="V423" s="36"/>
      <c r="W423" s="36"/>
      <c r="X423" s="36"/>
      <c r="AB423" s="37"/>
      <c r="AC423" s="38"/>
      <c r="AN423" s="39"/>
    </row>
    <row r="424" ht="15.75" customHeight="1">
      <c r="A424" s="40"/>
      <c r="T424" s="36"/>
      <c r="U424" s="36"/>
      <c r="V424" s="36"/>
      <c r="W424" s="36"/>
      <c r="X424" s="36"/>
      <c r="AB424" s="37"/>
      <c r="AC424" s="38"/>
      <c r="AN424" s="39"/>
    </row>
    <row r="425" ht="15.75" customHeight="1">
      <c r="A425" s="40"/>
      <c r="T425" s="36"/>
      <c r="U425" s="36"/>
      <c r="V425" s="36"/>
      <c r="W425" s="36"/>
      <c r="X425" s="36"/>
      <c r="AB425" s="37"/>
      <c r="AC425" s="38"/>
      <c r="AN425" s="39"/>
    </row>
    <row r="426" ht="15.75" customHeight="1">
      <c r="A426" s="40"/>
      <c r="T426" s="36"/>
      <c r="U426" s="36"/>
      <c r="V426" s="36"/>
      <c r="W426" s="36"/>
      <c r="X426" s="36"/>
      <c r="AB426" s="37"/>
      <c r="AC426" s="38"/>
      <c r="AN426" s="39"/>
    </row>
    <row r="427" ht="15.75" customHeight="1">
      <c r="A427" s="40"/>
      <c r="T427" s="36"/>
      <c r="U427" s="36"/>
      <c r="V427" s="36"/>
      <c r="W427" s="36"/>
      <c r="X427" s="36"/>
      <c r="AB427" s="37"/>
      <c r="AC427" s="38"/>
      <c r="AN427" s="39"/>
    </row>
    <row r="428" ht="15.75" customHeight="1">
      <c r="A428" s="40"/>
      <c r="T428" s="36"/>
      <c r="U428" s="36"/>
      <c r="V428" s="36"/>
      <c r="W428" s="36"/>
      <c r="X428" s="36"/>
      <c r="AB428" s="37"/>
      <c r="AC428" s="38"/>
      <c r="AN428" s="39"/>
    </row>
    <row r="429" ht="15.75" customHeight="1">
      <c r="A429" s="40"/>
      <c r="T429" s="36"/>
      <c r="U429" s="36"/>
      <c r="V429" s="36"/>
      <c r="W429" s="36"/>
      <c r="X429" s="36"/>
      <c r="AB429" s="37"/>
      <c r="AC429" s="38"/>
      <c r="AN429" s="39"/>
    </row>
    <row r="430" ht="15.75" customHeight="1">
      <c r="A430" s="40"/>
      <c r="T430" s="36"/>
      <c r="U430" s="36"/>
      <c r="V430" s="36"/>
      <c r="W430" s="36"/>
      <c r="X430" s="36"/>
      <c r="AB430" s="37"/>
      <c r="AC430" s="38"/>
      <c r="AN430" s="39"/>
    </row>
    <row r="431" ht="15.75" customHeight="1">
      <c r="A431" s="40"/>
      <c r="T431" s="36"/>
      <c r="U431" s="36"/>
      <c r="V431" s="36"/>
      <c r="W431" s="36"/>
      <c r="X431" s="36"/>
      <c r="AB431" s="37"/>
      <c r="AC431" s="38"/>
      <c r="AN431" s="39"/>
    </row>
    <row r="432" ht="15.75" customHeight="1">
      <c r="A432" s="40"/>
      <c r="T432" s="36"/>
      <c r="U432" s="36"/>
      <c r="V432" s="36"/>
      <c r="W432" s="36"/>
      <c r="X432" s="36"/>
      <c r="AB432" s="37"/>
      <c r="AC432" s="38"/>
      <c r="AN432" s="39"/>
    </row>
    <row r="433" ht="15.75" customHeight="1">
      <c r="A433" s="40"/>
      <c r="T433" s="36"/>
      <c r="U433" s="36"/>
      <c r="V433" s="36"/>
      <c r="W433" s="36"/>
      <c r="X433" s="36"/>
      <c r="AB433" s="37"/>
      <c r="AC433" s="38"/>
      <c r="AN433" s="39"/>
    </row>
    <row r="434" ht="15.75" customHeight="1">
      <c r="A434" s="40"/>
      <c r="T434" s="36"/>
      <c r="U434" s="36"/>
      <c r="V434" s="36"/>
      <c r="W434" s="36"/>
      <c r="X434" s="36"/>
      <c r="AB434" s="37"/>
      <c r="AC434" s="38"/>
      <c r="AN434" s="39"/>
    </row>
    <row r="435" ht="15.75" customHeight="1">
      <c r="A435" s="40"/>
      <c r="T435" s="36"/>
      <c r="U435" s="36"/>
      <c r="V435" s="36"/>
      <c r="W435" s="36"/>
      <c r="X435" s="36"/>
      <c r="AB435" s="37"/>
      <c r="AC435" s="38"/>
      <c r="AN435" s="39"/>
    </row>
    <row r="436" ht="15.75" customHeight="1">
      <c r="A436" s="40"/>
      <c r="T436" s="36"/>
      <c r="U436" s="36"/>
      <c r="V436" s="36"/>
      <c r="W436" s="36"/>
      <c r="X436" s="36"/>
      <c r="AB436" s="37"/>
      <c r="AC436" s="38"/>
      <c r="AN436" s="39"/>
    </row>
    <row r="437" ht="15.75" customHeight="1">
      <c r="A437" s="40"/>
      <c r="T437" s="36"/>
      <c r="U437" s="36"/>
      <c r="V437" s="36"/>
      <c r="W437" s="36"/>
      <c r="X437" s="36"/>
      <c r="AB437" s="37"/>
      <c r="AC437" s="38"/>
      <c r="AN437" s="39"/>
    </row>
    <row r="438" ht="15.75" customHeight="1">
      <c r="A438" s="40"/>
      <c r="T438" s="36"/>
      <c r="U438" s="36"/>
      <c r="V438" s="36"/>
      <c r="W438" s="36"/>
      <c r="X438" s="36"/>
      <c r="AB438" s="37"/>
      <c r="AC438" s="38"/>
      <c r="AN438" s="39"/>
    </row>
    <row r="439" ht="15.75" customHeight="1">
      <c r="A439" s="40"/>
      <c r="T439" s="36"/>
      <c r="U439" s="36"/>
      <c r="V439" s="36"/>
      <c r="W439" s="36"/>
      <c r="X439" s="36"/>
      <c r="AB439" s="37"/>
      <c r="AC439" s="38"/>
      <c r="AN439" s="39"/>
    </row>
    <row r="440" ht="15.75" customHeight="1">
      <c r="A440" s="40"/>
      <c r="T440" s="36"/>
      <c r="U440" s="36"/>
      <c r="V440" s="36"/>
      <c r="W440" s="36"/>
      <c r="X440" s="36"/>
      <c r="AB440" s="37"/>
      <c r="AC440" s="38"/>
      <c r="AN440" s="39"/>
    </row>
    <row r="441" ht="15.75" customHeight="1">
      <c r="A441" s="40"/>
      <c r="T441" s="36"/>
      <c r="U441" s="36"/>
      <c r="V441" s="36"/>
      <c r="W441" s="36"/>
      <c r="X441" s="36"/>
      <c r="AB441" s="37"/>
      <c r="AC441" s="38"/>
      <c r="AN441" s="39"/>
    </row>
    <row r="442" ht="15.75" customHeight="1">
      <c r="A442" s="40"/>
      <c r="T442" s="36"/>
      <c r="U442" s="36"/>
      <c r="V442" s="36"/>
      <c r="W442" s="36"/>
      <c r="X442" s="36"/>
      <c r="AB442" s="37"/>
      <c r="AC442" s="38"/>
      <c r="AN442" s="39"/>
    </row>
    <row r="443" ht="15.75" customHeight="1">
      <c r="A443" s="40"/>
      <c r="T443" s="36"/>
      <c r="U443" s="36"/>
      <c r="V443" s="36"/>
      <c r="W443" s="36"/>
      <c r="X443" s="36"/>
      <c r="AB443" s="37"/>
      <c r="AC443" s="38"/>
      <c r="AN443" s="39"/>
    </row>
    <row r="444" ht="15.75" customHeight="1">
      <c r="A444" s="40"/>
      <c r="T444" s="36"/>
      <c r="U444" s="36"/>
      <c r="V444" s="36"/>
      <c r="W444" s="36"/>
      <c r="X444" s="36"/>
      <c r="AB444" s="37"/>
      <c r="AC444" s="38"/>
      <c r="AN444" s="39"/>
    </row>
    <row r="445" ht="15.75" customHeight="1">
      <c r="A445" s="40"/>
      <c r="T445" s="36"/>
      <c r="U445" s="36"/>
      <c r="V445" s="36"/>
      <c r="W445" s="36"/>
      <c r="X445" s="36"/>
      <c r="AB445" s="37"/>
      <c r="AC445" s="38"/>
      <c r="AN445" s="39"/>
    </row>
    <row r="446" ht="15.75" customHeight="1">
      <c r="A446" s="40"/>
      <c r="T446" s="36"/>
      <c r="U446" s="36"/>
      <c r="V446" s="36"/>
      <c r="W446" s="36"/>
      <c r="X446" s="36"/>
      <c r="AB446" s="37"/>
      <c r="AC446" s="38"/>
      <c r="AN446" s="39"/>
    </row>
    <row r="447" ht="15.75" customHeight="1">
      <c r="A447" s="40"/>
      <c r="T447" s="36"/>
      <c r="U447" s="36"/>
      <c r="V447" s="36"/>
      <c r="W447" s="36"/>
      <c r="X447" s="36"/>
      <c r="AB447" s="37"/>
      <c r="AC447" s="38"/>
      <c r="AN447" s="39"/>
    </row>
    <row r="448" ht="15.75" customHeight="1">
      <c r="A448" s="40"/>
      <c r="T448" s="36"/>
      <c r="U448" s="36"/>
      <c r="V448" s="36"/>
      <c r="W448" s="36"/>
      <c r="X448" s="36"/>
      <c r="AB448" s="37"/>
      <c r="AC448" s="38"/>
      <c r="AN448" s="39"/>
    </row>
    <row r="449" ht="15.75" customHeight="1">
      <c r="A449" s="40"/>
      <c r="T449" s="36"/>
      <c r="U449" s="36"/>
      <c r="V449" s="36"/>
      <c r="W449" s="36"/>
      <c r="X449" s="36"/>
      <c r="AB449" s="37"/>
      <c r="AC449" s="38"/>
      <c r="AN449" s="39"/>
    </row>
    <row r="450" ht="15.75" customHeight="1">
      <c r="A450" s="40"/>
      <c r="T450" s="36"/>
      <c r="U450" s="36"/>
      <c r="V450" s="36"/>
      <c r="W450" s="36"/>
      <c r="X450" s="36"/>
      <c r="AB450" s="37"/>
      <c r="AC450" s="38"/>
      <c r="AN450" s="39"/>
    </row>
    <row r="451" ht="15.75" customHeight="1">
      <c r="A451" s="40"/>
      <c r="T451" s="36"/>
      <c r="U451" s="36"/>
      <c r="V451" s="36"/>
      <c r="W451" s="36"/>
      <c r="X451" s="36"/>
      <c r="AB451" s="37"/>
      <c r="AC451" s="38"/>
      <c r="AN451" s="39"/>
    </row>
    <row r="452" ht="15.75" customHeight="1">
      <c r="A452" s="40"/>
      <c r="T452" s="36"/>
      <c r="U452" s="36"/>
      <c r="V452" s="36"/>
      <c r="W452" s="36"/>
      <c r="X452" s="36"/>
      <c r="AB452" s="37"/>
      <c r="AC452" s="38"/>
      <c r="AN452" s="39"/>
    </row>
    <row r="453" ht="15.75" customHeight="1">
      <c r="A453" s="40"/>
      <c r="T453" s="36"/>
      <c r="U453" s="36"/>
      <c r="V453" s="36"/>
      <c r="W453" s="36"/>
      <c r="X453" s="36"/>
      <c r="AB453" s="37"/>
      <c r="AC453" s="38"/>
      <c r="AN453" s="39"/>
    </row>
    <row r="454" ht="15.75" customHeight="1">
      <c r="A454" s="40"/>
      <c r="T454" s="36"/>
      <c r="U454" s="36"/>
      <c r="V454" s="36"/>
      <c r="W454" s="36"/>
      <c r="X454" s="36"/>
      <c r="AB454" s="37"/>
      <c r="AC454" s="38"/>
      <c r="AN454" s="39"/>
    </row>
    <row r="455" ht="15.75" customHeight="1">
      <c r="A455" s="40"/>
      <c r="T455" s="36"/>
      <c r="U455" s="36"/>
      <c r="V455" s="36"/>
      <c r="W455" s="36"/>
      <c r="X455" s="36"/>
      <c r="AB455" s="37"/>
      <c r="AC455" s="38"/>
      <c r="AN455" s="39"/>
    </row>
    <row r="456" ht="15.75" customHeight="1">
      <c r="A456" s="40"/>
      <c r="T456" s="36"/>
      <c r="U456" s="36"/>
      <c r="V456" s="36"/>
      <c r="W456" s="36"/>
      <c r="X456" s="36"/>
      <c r="AB456" s="37"/>
      <c r="AC456" s="38"/>
      <c r="AN456" s="39"/>
    </row>
    <row r="457" ht="15.75" customHeight="1">
      <c r="A457" s="40"/>
      <c r="T457" s="36"/>
      <c r="U457" s="36"/>
      <c r="V457" s="36"/>
      <c r="W457" s="36"/>
      <c r="X457" s="36"/>
      <c r="AB457" s="37"/>
      <c r="AC457" s="38"/>
      <c r="AN457" s="39"/>
    </row>
    <row r="458" ht="15.75" customHeight="1">
      <c r="A458" s="40"/>
      <c r="T458" s="36"/>
      <c r="U458" s="36"/>
      <c r="V458" s="36"/>
      <c r="W458" s="36"/>
      <c r="X458" s="36"/>
      <c r="AB458" s="37"/>
      <c r="AC458" s="38"/>
      <c r="AN458" s="39"/>
    </row>
    <row r="459" ht="15.75" customHeight="1">
      <c r="A459" s="40"/>
      <c r="T459" s="36"/>
      <c r="U459" s="36"/>
      <c r="V459" s="36"/>
      <c r="W459" s="36"/>
      <c r="X459" s="36"/>
      <c r="AB459" s="37"/>
      <c r="AC459" s="38"/>
      <c r="AN459" s="39"/>
    </row>
    <row r="460" ht="15.75" customHeight="1">
      <c r="A460" s="40"/>
      <c r="T460" s="36"/>
      <c r="U460" s="36"/>
      <c r="V460" s="36"/>
      <c r="W460" s="36"/>
      <c r="X460" s="36"/>
      <c r="AB460" s="37"/>
      <c r="AC460" s="38"/>
      <c r="AN460" s="39"/>
    </row>
    <row r="461" ht="15.75" customHeight="1">
      <c r="A461" s="40"/>
      <c r="T461" s="36"/>
      <c r="U461" s="36"/>
      <c r="V461" s="36"/>
      <c r="W461" s="36"/>
      <c r="X461" s="36"/>
      <c r="AB461" s="37"/>
      <c r="AC461" s="38"/>
      <c r="AN461" s="39"/>
    </row>
    <row r="462" ht="15.75" customHeight="1">
      <c r="A462" s="40"/>
      <c r="T462" s="36"/>
      <c r="U462" s="36"/>
      <c r="V462" s="36"/>
      <c r="W462" s="36"/>
      <c r="X462" s="36"/>
      <c r="AB462" s="37"/>
      <c r="AC462" s="38"/>
      <c r="AN462" s="39"/>
    </row>
    <row r="463" ht="15.75" customHeight="1">
      <c r="A463" s="40"/>
      <c r="T463" s="36"/>
      <c r="U463" s="36"/>
      <c r="V463" s="36"/>
      <c r="W463" s="36"/>
      <c r="X463" s="36"/>
      <c r="AB463" s="37"/>
      <c r="AC463" s="38"/>
      <c r="AN463" s="39"/>
    </row>
    <row r="464" ht="15.75" customHeight="1">
      <c r="A464" s="40"/>
      <c r="T464" s="36"/>
      <c r="U464" s="36"/>
      <c r="V464" s="36"/>
      <c r="W464" s="36"/>
      <c r="X464" s="36"/>
      <c r="AB464" s="37"/>
      <c r="AC464" s="38"/>
      <c r="AN464" s="39"/>
    </row>
    <row r="465" ht="15.75" customHeight="1">
      <c r="A465" s="40"/>
      <c r="T465" s="36"/>
      <c r="U465" s="36"/>
      <c r="V465" s="36"/>
      <c r="W465" s="36"/>
      <c r="X465" s="36"/>
      <c r="AB465" s="37"/>
      <c r="AC465" s="38"/>
      <c r="AN465" s="39"/>
    </row>
    <row r="466" ht="15.75" customHeight="1">
      <c r="A466" s="40"/>
      <c r="T466" s="36"/>
      <c r="U466" s="36"/>
      <c r="V466" s="36"/>
      <c r="W466" s="36"/>
      <c r="X466" s="36"/>
      <c r="AB466" s="37"/>
      <c r="AC466" s="38"/>
      <c r="AN466" s="39"/>
    </row>
    <row r="467" ht="15.75" customHeight="1">
      <c r="A467" s="40"/>
      <c r="T467" s="36"/>
      <c r="U467" s="36"/>
      <c r="V467" s="36"/>
      <c r="W467" s="36"/>
      <c r="X467" s="36"/>
      <c r="AB467" s="37"/>
      <c r="AC467" s="38"/>
      <c r="AN467" s="39"/>
    </row>
    <row r="468" ht="15.75" customHeight="1">
      <c r="A468" s="40"/>
      <c r="T468" s="36"/>
      <c r="U468" s="36"/>
      <c r="V468" s="36"/>
      <c r="W468" s="36"/>
      <c r="X468" s="36"/>
      <c r="AB468" s="37"/>
      <c r="AC468" s="38"/>
      <c r="AN468" s="39"/>
    </row>
    <row r="469" ht="15.75" customHeight="1">
      <c r="A469" s="40"/>
      <c r="T469" s="36"/>
      <c r="U469" s="36"/>
      <c r="V469" s="36"/>
      <c r="W469" s="36"/>
      <c r="X469" s="36"/>
      <c r="AB469" s="37"/>
      <c r="AC469" s="38"/>
      <c r="AN469" s="39"/>
    </row>
    <row r="470" ht="15.75" customHeight="1">
      <c r="A470" s="40"/>
      <c r="T470" s="36"/>
      <c r="U470" s="36"/>
      <c r="V470" s="36"/>
      <c r="W470" s="36"/>
      <c r="X470" s="36"/>
      <c r="AB470" s="37"/>
      <c r="AC470" s="38"/>
      <c r="AN470" s="39"/>
    </row>
    <row r="471" ht="15.75" customHeight="1">
      <c r="A471" s="40"/>
      <c r="T471" s="36"/>
      <c r="U471" s="36"/>
      <c r="V471" s="36"/>
      <c r="W471" s="36"/>
      <c r="X471" s="36"/>
      <c r="AB471" s="37"/>
      <c r="AC471" s="38"/>
      <c r="AN471" s="39"/>
    </row>
    <row r="472" ht="15.75" customHeight="1">
      <c r="A472" s="40"/>
      <c r="T472" s="36"/>
      <c r="U472" s="36"/>
      <c r="V472" s="36"/>
      <c r="W472" s="36"/>
      <c r="X472" s="36"/>
      <c r="AB472" s="37"/>
      <c r="AC472" s="38"/>
      <c r="AN472" s="39"/>
    </row>
    <row r="473" ht="15.75" customHeight="1">
      <c r="A473" s="40"/>
      <c r="T473" s="36"/>
      <c r="U473" s="36"/>
      <c r="V473" s="36"/>
      <c r="W473" s="36"/>
      <c r="X473" s="36"/>
      <c r="AB473" s="37"/>
      <c r="AC473" s="38"/>
      <c r="AN473" s="39"/>
    </row>
    <row r="474" ht="15.75" customHeight="1">
      <c r="A474" s="40"/>
      <c r="T474" s="36"/>
      <c r="U474" s="36"/>
      <c r="V474" s="36"/>
      <c r="W474" s="36"/>
      <c r="X474" s="36"/>
      <c r="AB474" s="37"/>
      <c r="AC474" s="38"/>
      <c r="AN474" s="39"/>
    </row>
    <row r="475" ht="15.75" customHeight="1">
      <c r="A475" s="40"/>
      <c r="T475" s="36"/>
      <c r="U475" s="36"/>
      <c r="V475" s="36"/>
      <c r="W475" s="36"/>
      <c r="X475" s="36"/>
      <c r="AB475" s="37"/>
      <c r="AC475" s="38"/>
      <c r="AN475" s="39"/>
    </row>
    <row r="476" ht="15.75" customHeight="1">
      <c r="A476" s="40"/>
      <c r="T476" s="36"/>
      <c r="U476" s="36"/>
      <c r="V476" s="36"/>
      <c r="W476" s="36"/>
      <c r="X476" s="36"/>
      <c r="AB476" s="37"/>
      <c r="AC476" s="38"/>
      <c r="AN476" s="39"/>
    </row>
    <row r="477" ht="15.75" customHeight="1">
      <c r="A477" s="40"/>
      <c r="T477" s="36"/>
      <c r="U477" s="36"/>
      <c r="V477" s="36"/>
      <c r="W477" s="36"/>
      <c r="X477" s="36"/>
      <c r="AB477" s="37"/>
      <c r="AC477" s="38"/>
      <c r="AN477" s="39"/>
    </row>
    <row r="478" ht="15.75" customHeight="1">
      <c r="A478" s="40"/>
      <c r="T478" s="36"/>
      <c r="U478" s="36"/>
      <c r="V478" s="36"/>
      <c r="W478" s="36"/>
      <c r="X478" s="36"/>
      <c r="AB478" s="37"/>
      <c r="AC478" s="38"/>
      <c r="AN478" s="39"/>
    </row>
    <row r="479" ht="15.75" customHeight="1">
      <c r="A479" s="40"/>
      <c r="T479" s="36"/>
      <c r="U479" s="36"/>
      <c r="V479" s="36"/>
      <c r="W479" s="36"/>
      <c r="X479" s="36"/>
      <c r="AB479" s="37"/>
      <c r="AC479" s="38"/>
      <c r="AN479" s="39"/>
    </row>
    <row r="480" ht="15.75" customHeight="1">
      <c r="A480" s="40"/>
      <c r="T480" s="36"/>
      <c r="U480" s="36"/>
      <c r="V480" s="36"/>
      <c r="W480" s="36"/>
      <c r="X480" s="36"/>
      <c r="AB480" s="37"/>
      <c r="AC480" s="38"/>
      <c r="AN480" s="39"/>
    </row>
    <row r="481" ht="15.75" customHeight="1">
      <c r="A481" s="40"/>
      <c r="T481" s="36"/>
      <c r="U481" s="36"/>
      <c r="V481" s="36"/>
      <c r="W481" s="36"/>
      <c r="X481" s="36"/>
      <c r="AB481" s="37"/>
      <c r="AC481" s="38"/>
      <c r="AN481" s="39"/>
    </row>
    <row r="482" ht="15.75" customHeight="1">
      <c r="A482" s="40"/>
      <c r="T482" s="36"/>
      <c r="U482" s="36"/>
      <c r="V482" s="36"/>
      <c r="W482" s="36"/>
      <c r="X482" s="36"/>
      <c r="AB482" s="37"/>
      <c r="AC482" s="38"/>
      <c r="AN482" s="39"/>
    </row>
    <row r="483" ht="15.75" customHeight="1">
      <c r="A483" s="40"/>
      <c r="T483" s="36"/>
      <c r="U483" s="36"/>
      <c r="V483" s="36"/>
      <c r="W483" s="36"/>
      <c r="X483" s="36"/>
      <c r="AB483" s="37"/>
      <c r="AC483" s="38"/>
      <c r="AN483" s="39"/>
    </row>
    <row r="484" ht="15.75" customHeight="1">
      <c r="A484" s="40"/>
      <c r="T484" s="36"/>
      <c r="U484" s="36"/>
      <c r="V484" s="36"/>
      <c r="W484" s="36"/>
      <c r="X484" s="36"/>
      <c r="AB484" s="37"/>
      <c r="AC484" s="38"/>
      <c r="AN484" s="39"/>
    </row>
    <row r="485" ht="15.75" customHeight="1">
      <c r="A485" s="40"/>
      <c r="T485" s="36"/>
      <c r="U485" s="36"/>
      <c r="V485" s="36"/>
      <c r="W485" s="36"/>
      <c r="X485" s="36"/>
      <c r="AB485" s="37"/>
      <c r="AC485" s="38"/>
      <c r="AN485" s="39"/>
    </row>
    <row r="486" ht="15.75" customHeight="1">
      <c r="A486" s="40"/>
      <c r="T486" s="36"/>
      <c r="U486" s="36"/>
      <c r="V486" s="36"/>
      <c r="W486" s="36"/>
      <c r="X486" s="36"/>
      <c r="AB486" s="37"/>
      <c r="AC486" s="38"/>
      <c r="AN486" s="39"/>
    </row>
    <row r="487" ht="15.75" customHeight="1">
      <c r="A487" s="40"/>
      <c r="T487" s="36"/>
      <c r="U487" s="36"/>
      <c r="V487" s="36"/>
      <c r="W487" s="36"/>
      <c r="X487" s="36"/>
      <c r="AB487" s="37"/>
      <c r="AC487" s="38"/>
      <c r="AN487" s="39"/>
    </row>
    <row r="488" ht="15.75" customHeight="1">
      <c r="A488" s="40"/>
      <c r="T488" s="36"/>
      <c r="U488" s="36"/>
      <c r="V488" s="36"/>
      <c r="W488" s="36"/>
      <c r="X488" s="36"/>
      <c r="AB488" s="37"/>
      <c r="AC488" s="38"/>
      <c r="AN488" s="39"/>
    </row>
    <row r="489" ht="15.75" customHeight="1">
      <c r="A489" s="40"/>
      <c r="T489" s="36"/>
      <c r="U489" s="36"/>
      <c r="V489" s="36"/>
      <c r="W489" s="36"/>
      <c r="X489" s="36"/>
      <c r="AB489" s="37"/>
      <c r="AC489" s="38"/>
      <c r="AN489" s="39"/>
    </row>
    <row r="490" ht="15.75" customHeight="1">
      <c r="A490" s="40"/>
      <c r="T490" s="36"/>
      <c r="U490" s="36"/>
      <c r="V490" s="36"/>
      <c r="W490" s="36"/>
      <c r="X490" s="36"/>
      <c r="AB490" s="37"/>
      <c r="AC490" s="38"/>
      <c r="AN490" s="39"/>
    </row>
    <row r="491" ht="15.75" customHeight="1">
      <c r="A491" s="40"/>
      <c r="T491" s="36"/>
      <c r="U491" s="36"/>
      <c r="V491" s="36"/>
      <c r="W491" s="36"/>
      <c r="X491" s="36"/>
      <c r="AB491" s="37"/>
      <c r="AC491" s="38"/>
      <c r="AN491" s="39"/>
    </row>
    <row r="492" ht="15.75" customHeight="1">
      <c r="A492" s="40"/>
      <c r="T492" s="36"/>
      <c r="U492" s="36"/>
      <c r="V492" s="36"/>
      <c r="W492" s="36"/>
      <c r="X492" s="36"/>
      <c r="AB492" s="37"/>
      <c r="AC492" s="38"/>
      <c r="AN492" s="39"/>
    </row>
    <row r="493" ht="15.75" customHeight="1">
      <c r="A493" s="40"/>
      <c r="T493" s="36"/>
      <c r="U493" s="36"/>
      <c r="V493" s="36"/>
      <c r="W493" s="36"/>
      <c r="X493" s="36"/>
      <c r="AB493" s="37"/>
      <c r="AC493" s="38"/>
      <c r="AN493" s="39"/>
    </row>
    <row r="494" ht="15.75" customHeight="1">
      <c r="A494" s="40"/>
      <c r="T494" s="36"/>
      <c r="U494" s="36"/>
      <c r="V494" s="36"/>
      <c r="W494" s="36"/>
      <c r="X494" s="36"/>
      <c r="AB494" s="37"/>
      <c r="AC494" s="38"/>
      <c r="AN494" s="39"/>
    </row>
    <row r="495" ht="15.75" customHeight="1">
      <c r="A495" s="40"/>
      <c r="T495" s="36"/>
      <c r="U495" s="36"/>
      <c r="V495" s="36"/>
      <c r="W495" s="36"/>
      <c r="X495" s="36"/>
      <c r="AB495" s="37"/>
      <c r="AC495" s="38"/>
      <c r="AN495" s="39"/>
    </row>
    <row r="496" ht="15.75" customHeight="1">
      <c r="A496" s="40"/>
      <c r="T496" s="36"/>
      <c r="U496" s="36"/>
      <c r="V496" s="36"/>
      <c r="W496" s="36"/>
      <c r="X496" s="36"/>
      <c r="AB496" s="37"/>
      <c r="AC496" s="38"/>
      <c r="AN496" s="39"/>
    </row>
    <row r="497" ht="15.75" customHeight="1">
      <c r="A497" s="40"/>
      <c r="T497" s="36"/>
      <c r="U497" s="36"/>
      <c r="V497" s="36"/>
      <c r="W497" s="36"/>
      <c r="X497" s="36"/>
      <c r="AB497" s="37"/>
      <c r="AC497" s="38"/>
      <c r="AN497" s="39"/>
    </row>
    <row r="498" ht="15.75" customHeight="1">
      <c r="A498" s="40"/>
      <c r="T498" s="36"/>
      <c r="U498" s="36"/>
      <c r="V498" s="36"/>
      <c r="W498" s="36"/>
      <c r="X498" s="36"/>
      <c r="AB498" s="37"/>
      <c r="AC498" s="38"/>
      <c r="AN498" s="39"/>
    </row>
    <row r="499" ht="15.75" customHeight="1">
      <c r="A499" s="40"/>
      <c r="T499" s="36"/>
      <c r="U499" s="36"/>
      <c r="V499" s="36"/>
      <c r="W499" s="36"/>
      <c r="X499" s="36"/>
      <c r="AB499" s="37"/>
      <c r="AC499" s="38"/>
      <c r="AN499" s="39"/>
    </row>
    <row r="500" ht="15.75" customHeight="1">
      <c r="A500" s="40"/>
      <c r="T500" s="36"/>
      <c r="U500" s="36"/>
      <c r="V500" s="36"/>
      <c r="W500" s="36"/>
      <c r="X500" s="36"/>
      <c r="AB500" s="37"/>
      <c r="AC500" s="38"/>
      <c r="AN500" s="39"/>
    </row>
    <row r="501" ht="15.75" customHeight="1">
      <c r="A501" s="40"/>
      <c r="T501" s="36"/>
      <c r="U501" s="36"/>
      <c r="V501" s="36"/>
      <c r="W501" s="36"/>
      <c r="X501" s="36"/>
      <c r="AB501" s="37"/>
      <c r="AC501" s="38"/>
      <c r="AN501" s="39"/>
    </row>
    <row r="502" ht="15.75" customHeight="1">
      <c r="A502" s="40"/>
      <c r="T502" s="36"/>
      <c r="U502" s="36"/>
      <c r="V502" s="36"/>
      <c r="W502" s="36"/>
      <c r="X502" s="36"/>
      <c r="AB502" s="37"/>
      <c r="AC502" s="38"/>
      <c r="AN502" s="39"/>
    </row>
    <row r="503" ht="15.75" customHeight="1">
      <c r="A503" s="40"/>
      <c r="T503" s="36"/>
      <c r="U503" s="36"/>
      <c r="V503" s="36"/>
      <c r="W503" s="36"/>
      <c r="X503" s="36"/>
      <c r="AB503" s="37"/>
      <c r="AC503" s="38"/>
      <c r="AN503" s="39"/>
    </row>
    <row r="504" ht="15.75" customHeight="1">
      <c r="A504" s="40"/>
      <c r="T504" s="36"/>
      <c r="U504" s="36"/>
      <c r="V504" s="36"/>
      <c r="W504" s="36"/>
      <c r="X504" s="36"/>
      <c r="AB504" s="37"/>
      <c r="AC504" s="38"/>
      <c r="AN504" s="39"/>
    </row>
    <row r="505" ht="15.75" customHeight="1">
      <c r="A505" s="40"/>
      <c r="T505" s="36"/>
      <c r="U505" s="36"/>
      <c r="V505" s="36"/>
      <c r="W505" s="36"/>
      <c r="X505" s="36"/>
      <c r="AB505" s="37"/>
      <c r="AC505" s="38"/>
      <c r="AN505" s="39"/>
    </row>
    <row r="506" ht="15.75" customHeight="1">
      <c r="A506" s="40"/>
      <c r="T506" s="36"/>
      <c r="U506" s="36"/>
      <c r="V506" s="36"/>
      <c r="W506" s="36"/>
      <c r="X506" s="36"/>
      <c r="AB506" s="37"/>
      <c r="AC506" s="38"/>
      <c r="AN506" s="39"/>
    </row>
    <row r="507" ht="15.75" customHeight="1">
      <c r="A507" s="40"/>
      <c r="T507" s="36"/>
      <c r="U507" s="36"/>
      <c r="V507" s="36"/>
      <c r="W507" s="36"/>
      <c r="X507" s="36"/>
      <c r="AB507" s="37"/>
      <c r="AC507" s="38"/>
      <c r="AN507" s="39"/>
    </row>
    <row r="508" ht="15.75" customHeight="1">
      <c r="A508" s="40"/>
      <c r="T508" s="36"/>
      <c r="U508" s="36"/>
      <c r="V508" s="36"/>
      <c r="W508" s="36"/>
      <c r="X508" s="36"/>
      <c r="AB508" s="37"/>
      <c r="AC508" s="38"/>
      <c r="AN508" s="39"/>
    </row>
    <row r="509" ht="15.75" customHeight="1">
      <c r="A509" s="40"/>
      <c r="T509" s="36"/>
      <c r="U509" s="36"/>
      <c r="V509" s="36"/>
      <c r="W509" s="36"/>
      <c r="X509" s="36"/>
      <c r="AB509" s="37"/>
      <c r="AC509" s="38"/>
      <c r="AN509" s="39"/>
    </row>
    <row r="510" ht="15.75" customHeight="1">
      <c r="A510" s="40"/>
      <c r="T510" s="36"/>
      <c r="U510" s="36"/>
      <c r="V510" s="36"/>
      <c r="W510" s="36"/>
      <c r="X510" s="36"/>
      <c r="AB510" s="37"/>
      <c r="AC510" s="38"/>
      <c r="AN510" s="39"/>
    </row>
    <row r="511" ht="15.75" customHeight="1">
      <c r="A511" s="40"/>
      <c r="T511" s="36"/>
      <c r="U511" s="36"/>
      <c r="V511" s="36"/>
      <c r="W511" s="36"/>
      <c r="X511" s="36"/>
      <c r="AB511" s="37"/>
      <c r="AC511" s="38"/>
      <c r="AN511" s="39"/>
    </row>
    <row r="512" ht="15.75" customHeight="1">
      <c r="A512" s="40"/>
      <c r="T512" s="36"/>
      <c r="U512" s="36"/>
      <c r="V512" s="36"/>
      <c r="W512" s="36"/>
      <c r="X512" s="36"/>
      <c r="AB512" s="37"/>
      <c r="AC512" s="38"/>
      <c r="AN512" s="39"/>
    </row>
    <row r="513" ht="15.75" customHeight="1">
      <c r="A513" s="40"/>
      <c r="T513" s="36"/>
      <c r="U513" s="36"/>
      <c r="V513" s="36"/>
      <c r="W513" s="36"/>
      <c r="X513" s="36"/>
      <c r="AB513" s="37"/>
      <c r="AC513" s="38"/>
      <c r="AN513" s="39"/>
    </row>
    <row r="514" ht="15.75" customHeight="1">
      <c r="A514" s="40"/>
      <c r="T514" s="36"/>
      <c r="U514" s="36"/>
      <c r="V514" s="36"/>
      <c r="W514" s="36"/>
      <c r="X514" s="36"/>
      <c r="AB514" s="37"/>
      <c r="AC514" s="38"/>
      <c r="AN514" s="39"/>
    </row>
    <row r="515" ht="15.75" customHeight="1">
      <c r="A515" s="40"/>
      <c r="T515" s="36"/>
      <c r="U515" s="36"/>
      <c r="V515" s="36"/>
      <c r="W515" s="36"/>
      <c r="X515" s="36"/>
      <c r="AB515" s="37"/>
      <c r="AC515" s="38"/>
      <c r="AN515" s="39"/>
    </row>
    <row r="516" ht="15.75" customHeight="1">
      <c r="A516" s="40"/>
      <c r="T516" s="36"/>
      <c r="U516" s="36"/>
      <c r="V516" s="36"/>
      <c r="W516" s="36"/>
      <c r="X516" s="36"/>
      <c r="AB516" s="37"/>
      <c r="AC516" s="38"/>
      <c r="AN516" s="39"/>
    </row>
    <row r="517" ht="15.75" customHeight="1">
      <c r="A517" s="40"/>
      <c r="T517" s="36"/>
      <c r="U517" s="36"/>
      <c r="V517" s="36"/>
      <c r="W517" s="36"/>
      <c r="X517" s="36"/>
      <c r="AB517" s="37"/>
      <c r="AC517" s="38"/>
      <c r="AN517" s="39"/>
    </row>
    <row r="518" ht="15.75" customHeight="1">
      <c r="A518" s="40"/>
      <c r="T518" s="36"/>
      <c r="U518" s="36"/>
      <c r="V518" s="36"/>
      <c r="W518" s="36"/>
      <c r="X518" s="36"/>
      <c r="AB518" s="37"/>
      <c r="AC518" s="38"/>
      <c r="AN518" s="39"/>
    </row>
    <row r="519" ht="15.75" customHeight="1">
      <c r="A519" s="40"/>
      <c r="T519" s="36"/>
      <c r="U519" s="36"/>
      <c r="V519" s="36"/>
      <c r="W519" s="36"/>
      <c r="X519" s="36"/>
      <c r="AB519" s="37"/>
      <c r="AC519" s="38"/>
      <c r="AN519" s="39"/>
    </row>
    <row r="520" ht="15.75" customHeight="1">
      <c r="A520" s="40"/>
      <c r="T520" s="36"/>
      <c r="U520" s="36"/>
      <c r="V520" s="36"/>
      <c r="W520" s="36"/>
      <c r="X520" s="36"/>
      <c r="AB520" s="37"/>
      <c r="AC520" s="38"/>
      <c r="AN520" s="39"/>
    </row>
    <row r="521" ht="15.75" customHeight="1">
      <c r="A521" s="40"/>
      <c r="T521" s="36"/>
      <c r="U521" s="36"/>
      <c r="V521" s="36"/>
      <c r="W521" s="36"/>
      <c r="X521" s="36"/>
      <c r="AB521" s="37"/>
      <c r="AC521" s="38"/>
      <c r="AN521" s="39"/>
    </row>
    <row r="522" ht="15.75" customHeight="1">
      <c r="A522" s="40"/>
      <c r="T522" s="36"/>
      <c r="U522" s="36"/>
      <c r="V522" s="36"/>
      <c r="W522" s="36"/>
      <c r="X522" s="36"/>
      <c r="AB522" s="37"/>
      <c r="AC522" s="38"/>
      <c r="AN522" s="39"/>
    </row>
    <row r="523" ht="15.75" customHeight="1">
      <c r="A523" s="40"/>
      <c r="T523" s="36"/>
      <c r="U523" s="36"/>
      <c r="V523" s="36"/>
      <c r="W523" s="36"/>
      <c r="X523" s="36"/>
      <c r="AB523" s="37"/>
      <c r="AC523" s="38"/>
      <c r="AN523" s="39"/>
    </row>
    <row r="524" ht="15.75" customHeight="1">
      <c r="A524" s="40"/>
      <c r="T524" s="36"/>
      <c r="U524" s="36"/>
      <c r="V524" s="36"/>
      <c r="W524" s="36"/>
      <c r="X524" s="36"/>
      <c r="AB524" s="37"/>
      <c r="AC524" s="38"/>
      <c r="AN524" s="39"/>
    </row>
    <row r="525" ht="15.75" customHeight="1">
      <c r="A525" s="40"/>
      <c r="T525" s="36"/>
      <c r="U525" s="36"/>
      <c r="V525" s="36"/>
      <c r="W525" s="36"/>
      <c r="X525" s="36"/>
      <c r="AB525" s="37"/>
      <c r="AC525" s="38"/>
      <c r="AN525" s="39"/>
    </row>
    <row r="526" ht="15.75" customHeight="1">
      <c r="A526" s="40"/>
      <c r="T526" s="36"/>
      <c r="U526" s="36"/>
      <c r="V526" s="36"/>
      <c r="W526" s="36"/>
      <c r="X526" s="36"/>
      <c r="AB526" s="37"/>
      <c r="AC526" s="38"/>
      <c r="AN526" s="39"/>
    </row>
    <row r="527" ht="15.75" customHeight="1">
      <c r="A527" s="40"/>
      <c r="T527" s="36"/>
      <c r="U527" s="36"/>
      <c r="V527" s="36"/>
      <c r="W527" s="36"/>
      <c r="X527" s="36"/>
      <c r="AB527" s="37"/>
      <c r="AC527" s="38"/>
      <c r="AN527" s="39"/>
    </row>
    <row r="528" ht="15.75" customHeight="1">
      <c r="A528" s="40"/>
      <c r="T528" s="36"/>
      <c r="U528" s="36"/>
      <c r="V528" s="36"/>
      <c r="W528" s="36"/>
      <c r="X528" s="36"/>
      <c r="AB528" s="37"/>
      <c r="AC528" s="38"/>
      <c r="AN528" s="39"/>
    </row>
    <row r="529" ht="15.75" customHeight="1">
      <c r="A529" s="40"/>
      <c r="T529" s="36"/>
      <c r="U529" s="36"/>
      <c r="V529" s="36"/>
      <c r="W529" s="36"/>
      <c r="X529" s="36"/>
      <c r="AB529" s="37"/>
      <c r="AC529" s="38"/>
      <c r="AN529" s="39"/>
    </row>
    <row r="530" ht="15.75" customHeight="1">
      <c r="A530" s="40"/>
      <c r="T530" s="36"/>
      <c r="U530" s="36"/>
      <c r="V530" s="36"/>
      <c r="W530" s="36"/>
      <c r="X530" s="36"/>
      <c r="AB530" s="37"/>
      <c r="AC530" s="38"/>
      <c r="AN530" s="39"/>
    </row>
    <row r="531" ht="15.75" customHeight="1">
      <c r="A531" s="40"/>
      <c r="T531" s="36"/>
      <c r="U531" s="36"/>
      <c r="V531" s="36"/>
      <c r="W531" s="36"/>
      <c r="X531" s="36"/>
      <c r="AB531" s="37"/>
      <c r="AC531" s="38"/>
      <c r="AN531" s="39"/>
    </row>
    <row r="532" ht="15.75" customHeight="1">
      <c r="A532" s="40"/>
      <c r="T532" s="36"/>
      <c r="U532" s="36"/>
      <c r="V532" s="36"/>
      <c r="W532" s="36"/>
      <c r="X532" s="36"/>
      <c r="AB532" s="37"/>
      <c r="AC532" s="38"/>
      <c r="AN532" s="39"/>
    </row>
    <row r="533" ht="15.75" customHeight="1">
      <c r="A533" s="40"/>
      <c r="T533" s="36"/>
      <c r="U533" s="36"/>
      <c r="V533" s="36"/>
      <c r="W533" s="36"/>
      <c r="X533" s="36"/>
      <c r="AB533" s="37"/>
      <c r="AC533" s="38"/>
      <c r="AN533" s="39"/>
    </row>
    <row r="534" ht="15.75" customHeight="1">
      <c r="A534" s="40"/>
      <c r="T534" s="36"/>
      <c r="U534" s="36"/>
      <c r="V534" s="36"/>
      <c r="W534" s="36"/>
      <c r="X534" s="36"/>
      <c r="AB534" s="37"/>
      <c r="AC534" s="38"/>
      <c r="AN534" s="39"/>
    </row>
    <row r="535" ht="15.75" customHeight="1">
      <c r="A535" s="40"/>
      <c r="T535" s="36"/>
      <c r="U535" s="36"/>
      <c r="V535" s="36"/>
      <c r="W535" s="36"/>
      <c r="X535" s="36"/>
      <c r="AB535" s="37"/>
      <c r="AC535" s="38"/>
      <c r="AN535" s="39"/>
    </row>
    <row r="536" ht="15.75" customHeight="1">
      <c r="A536" s="40"/>
      <c r="T536" s="36"/>
      <c r="U536" s="36"/>
      <c r="V536" s="36"/>
      <c r="W536" s="36"/>
      <c r="X536" s="36"/>
      <c r="AB536" s="37"/>
      <c r="AC536" s="38"/>
      <c r="AN536" s="39"/>
    </row>
    <row r="537" ht="15.75" customHeight="1">
      <c r="A537" s="40"/>
      <c r="T537" s="36"/>
      <c r="U537" s="36"/>
      <c r="V537" s="36"/>
      <c r="W537" s="36"/>
      <c r="X537" s="36"/>
      <c r="AB537" s="37"/>
      <c r="AC537" s="38"/>
      <c r="AN537" s="39"/>
    </row>
    <row r="538" ht="15.75" customHeight="1">
      <c r="A538" s="40"/>
      <c r="T538" s="36"/>
      <c r="U538" s="36"/>
      <c r="V538" s="36"/>
      <c r="W538" s="36"/>
      <c r="X538" s="36"/>
      <c r="AB538" s="37"/>
      <c r="AC538" s="38"/>
      <c r="AN538" s="39"/>
    </row>
    <row r="539" ht="15.75" customHeight="1">
      <c r="A539" s="40"/>
      <c r="T539" s="36"/>
      <c r="U539" s="36"/>
      <c r="V539" s="36"/>
      <c r="W539" s="36"/>
      <c r="X539" s="36"/>
      <c r="AB539" s="37"/>
      <c r="AC539" s="38"/>
      <c r="AN539" s="39"/>
    </row>
    <row r="540" ht="15.75" customHeight="1">
      <c r="A540" s="40"/>
      <c r="T540" s="36"/>
      <c r="U540" s="36"/>
      <c r="V540" s="36"/>
      <c r="W540" s="36"/>
      <c r="X540" s="36"/>
      <c r="AB540" s="37"/>
      <c r="AC540" s="38"/>
      <c r="AN540" s="39"/>
    </row>
    <row r="541" ht="15.75" customHeight="1">
      <c r="A541" s="40"/>
      <c r="T541" s="36"/>
      <c r="U541" s="36"/>
      <c r="V541" s="36"/>
      <c r="W541" s="36"/>
      <c r="X541" s="36"/>
      <c r="AB541" s="37"/>
      <c r="AC541" s="38"/>
      <c r="AN541" s="39"/>
    </row>
    <row r="542" ht="15.75" customHeight="1">
      <c r="A542" s="40"/>
      <c r="T542" s="36"/>
      <c r="U542" s="36"/>
      <c r="V542" s="36"/>
      <c r="W542" s="36"/>
      <c r="X542" s="36"/>
      <c r="AB542" s="37"/>
      <c r="AC542" s="38"/>
      <c r="AN542" s="39"/>
    </row>
    <row r="543" ht="15.75" customHeight="1">
      <c r="A543" s="40"/>
      <c r="T543" s="36"/>
      <c r="U543" s="36"/>
      <c r="V543" s="36"/>
      <c r="W543" s="36"/>
      <c r="X543" s="36"/>
      <c r="AB543" s="37"/>
      <c r="AC543" s="38"/>
      <c r="AN543" s="39"/>
    </row>
    <row r="544" ht="15.75" customHeight="1">
      <c r="A544" s="40"/>
      <c r="T544" s="36"/>
      <c r="U544" s="36"/>
      <c r="V544" s="36"/>
      <c r="W544" s="36"/>
      <c r="X544" s="36"/>
      <c r="AB544" s="37"/>
      <c r="AC544" s="38"/>
      <c r="AN544" s="39"/>
    </row>
    <row r="545" ht="15.75" customHeight="1">
      <c r="A545" s="40"/>
      <c r="T545" s="36"/>
      <c r="U545" s="36"/>
      <c r="V545" s="36"/>
      <c r="W545" s="36"/>
      <c r="X545" s="36"/>
      <c r="AB545" s="37"/>
      <c r="AC545" s="38"/>
      <c r="AN545" s="39"/>
    </row>
    <row r="546" ht="15.75" customHeight="1">
      <c r="A546" s="40"/>
      <c r="T546" s="36"/>
      <c r="U546" s="36"/>
      <c r="V546" s="36"/>
      <c r="W546" s="36"/>
      <c r="X546" s="36"/>
      <c r="AB546" s="37"/>
      <c r="AC546" s="38"/>
      <c r="AN546" s="39"/>
    </row>
    <row r="547" ht="15.75" customHeight="1">
      <c r="A547" s="40"/>
      <c r="T547" s="36"/>
      <c r="U547" s="36"/>
      <c r="V547" s="36"/>
      <c r="W547" s="36"/>
      <c r="X547" s="36"/>
      <c r="AB547" s="37"/>
      <c r="AC547" s="38"/>
      <c r="AN547" s="39"/>
    </row>
    <row r="548" ht="15.75" customHeight="1">
      <c r="A548" s="40"/>
      <c r="T548" s="36"/>
      <c r="U548" s="36"/>
      <c r="V548" s="36"/>
      <c r="W548" s="36"/>
      <c r="X548" s="36"/>
      <c r="AB548" s="37"/>
      <c r="AC548" s="38"/>
      <c r="AN548" s="39"/>
    </row>
    <row r="549" ht="15.75" customHeight="1">
      <c r="A549" s="40"/>
      <c r="T549" s="36"/>
      <c r="U549" s="36"/>
      <c r="V549" s="36"/>
      <c r="W549" s="36"/>
      <c r="X549" s="36"/>
      <c r="AB549" s="37"/>
      <c r="AC549" s="38"/>
      <c r="AN549" s="39"/>
    </row>
    <row r="550" ht="15.75" customHeight="1">
      <c r="A550" s="40"/>
      <c r="T550" s="36"/>
      <c r="U550" s="36"/>
      <c r="V550" s="36"/>
      <c r="W550" s="36"/>
      <c r="X550" s="36"/>
      <c r="AB550" s="37"/>
      <c r="AC550" s="38"/>
      <c r="AN550" s="39"/>
    </row>
    <row r="551" ht="15.75" customHeight="1">
      <c r="A551" s="40"/>
      <c r="T551" s="36"/>
      <c r="U551" s="36"/>
      <c r="V551" s="36"/>
      <c r="W551" s="36"/>
      <c r="X551" s="36"/>
      <c r="AB551" s="37"/>
      <c r="AC551" s="38"/>
      <c r="AN551" s="39"/>
    </row>
    <row r="552" ht="15.75" customHeight="1">
      <c r="A552" s="40"/>
      <c r="T552" s="36"/>
      <c r="U552" s="36"/>
      <c r="V552" s="36"/>
      <c r="W552" s="36"/>
      <c r="X552" s="36"/>
      <c r="AB552" s="37"/>
      <c r="AC552" s="38"/>
      <c r="AN552" s="39"/>
    </row>
    <row r="553" ht="15.75" customHeight="1">
      <c r="A553" s="40"/>
      <c r="T553" s="36"/>
      <c r="U553" s="36"/>
      <c r="V553" s="36"/>
      <c r="W553" s="36"/>
      <c r="X553" s="36"/>
      <c r="AB553" s="37"/>
      <c r="AC553" s="38"/>
      <c r="AN553" s="39"/>
    </row>
    <row r="554" ht="15.75" customHeight="1">
      <c r="A554" s="40"/>
      <c r="T554" s="36"/>
      <c r="U554" s="36"/>
      <c r="V554" s="36"/>
      <c r="W554" s="36"/>
      <c r="X554" s="36"/>
      <c r="AB554" s="37"/>
      <c r="AC554" s="38"/>
      <c r="AN554" s="39"/>
    </row>
    <row r="555" ht="15.75" customHeight="1">
      <c r="A555" s="40"/>
      <c r="T555" s="36"/>
      <c r="U555" s="36"/>
      <c r="V555" s="36"/>
      <c r="W555" s="36"/>
      <c r="X555" s="36"/>
      <c r="AB555" s="37"/>
      <c r="AC555" s="38"/>
      <c r="AN555" s="39"/>
    </row>
    <row r="556" ht="15.75" customHeight="1">
      <c r="A556" s="40"/>
      <c r="T556" s="36"/>
      <c r="U556" s="36"/>
      <c r="V556" s="36"/>
      <c r="W556" s="36"/>
      <c r="X556" s="36"/>
      <c r="AB556" s="37"/>
      <c r="AC556" s="38"/>
      <c r="AN556" s="39"/>
    </row>
    <row r="557" ht="15.75" customHeight="1">
      <c r="A557" s="40"/>
      <c r="T557" s="36"/>
      <c r="U557" s="36"/>
      <c r="V557" s="36"/>
      <c r="W557" s="36"/>
      <c r="X557" s="36"/>
      <c r="AB557" s="37"/>
      <c r="AC557" s="38"/>
      <c r="AN557" s="39"/>
    </row>
    <row r="558" ht="15.75" customHeight="1">
      <c r="A558" s="40"/>
      <c r="T558" s="36"/>
      <c r="U558" s="36"/>
      <c r="V558" s="36"/>
      <c r="W558" s="36"/>
      <c r="X558" s="36"/>
      <c r="AB558" s="37"/>
      <c r="AC558" s="38"/>
      <c r="AN558" s="39"/>
    </row>
    <row r="559" ht="15.75" customHeight="1">
      <c r="A559" s="40"/>
      <c r="T559" s="36"/>
      <c r="U559" s="36"/>
      <c r="V559" s="36"/>
      <c r="W559" s="36"/>
      <c r="X559" s="36"/>
      <c r="AB559" s="37"/>
      <c r="AC559" s="38"/>
      <c r="AN559" s="39"/>
    </row>
    <row r="560" ht="15.75" customHeight="1">
      <c r="A560" s="40"/>
      <c r="T560" s="36"/>
      <c r="U560" s="36"/>
      <c r="V560" s="36"/>
      <c r="W560" s="36"/>
      <c r="X560" s="36"/>
      <c r="AB560" s="37"/>
      <c r="AC560" s="38"/>
      <c r="AN560" s="39"/>
    </row>
    <row r="561" ht="15.75" customHeight="1">
      <c r="A561" s="40"/>
      <c r="T561" s="36"/>
      <c r="U561" s="36"/>
      <c r="V561" s="36"/>
      <c r="W561" s="36"/>
      <c r="X561" s="36"/>
      <c r="AB561" s="37"/>
      <c r="AC561" s="38"/>
      <c r="AN561" s="39"/>
    </row>
    <row r="562" ht="15.75" customHeight="1">
      <c r="A562" s="40"/>
      <c r="T562" s="36"/>
      <c r="U562" s="36"/>
      <c r="V562" s="36"/>
      <c r="W562" s="36"/>
      <c r="X562" s="36"/>
      <c r="AB562" s="37"/>
      <c r="AC562" s="38"/>
      <c r="AN562" s="39"/>
    </row>
    <row r="563" ht="15.75" customHeight="1">
      <c r="A563" s="40"/>
      <c r="T563" s="36"/>
      <c r="U563" s="36"/>
      <c r="V563" s="36"/>
      <c r="W563" s="36"/>
      <c r="X563" s="36"/>
      <c r="AB563" s="37"/>
      <c r="AC563" s="38"/>
      <c r="AN563" s="39"/>
    </row>
    <row r="564" ht="15.75" customHeight="1">
      <c r="A564" s="40"/>
      <c r="T564" s="36"/>
      <c r="U564" s="36"/>
      <c r="V564" s="36"/>
      <c r="W564" s="36"/>
      <c r="X564" s="36"/>
      <c r="AB564" s="37"/>
      <c r="AC564" s="38"/>
      <c r="AN564" s="39"/>
    </row>
    <row r="565" ht="15.75" customHeight="1">
      <c r="A565" s="40"/>
      <c r="T565" s="36"/>
      <c r="U565" s="36"/>
      <c r="V565" s="36"/>
      <c r="W565" s="36"/>
      <c r="X565" s="36"/>
      <c r="AB565" s="37"/>
      <c r="AC565" s="38"/>
      <c r="AN565" s="39"/>
    </row>
    <row r="566" ht="15.75" customHeight="1">
      <c r="A566" s="40"/>
      <c r="T566" s="36"/>
      <c r="U566" s="36"/>
      <c r="V566" s="36"/>
      <c r="W566" s="36"/>
      <c r="X566" s="36"/>
      <c r="AB566" s="37"/>
      <c r="AC566" s="38"/>
      <c r="AN566" s="39"/>
    </row>
    <row r="567" ht="15.75" customHeight="1">
      <c r="A567" s="40"/>
      <c r="T567" s="36"/>
      <c r="U567" s="36"/>
      <c r="V567" s="36"/>
      <c r="W567" s="36"/>
      <c r="X567" s="36"/>
      <c r="AB567" s="37"/>
      <c r="AC567" s="38"/>
      <c r="AN567" s="39"/>
    </row>
    <row r="568" ht="15.75" customHeight="1">
      <c r="A568" s="40"/>
      <c r="T568" s="36"/>
      <c r="U568" s="36"/>
      <c r="V568" s="36"/>
      <c r="W568" s="36"/>
      <c r="X568" s="36"/>
      <c r="AB568" s="37"/>
      <c r="AC568" s="38"/>
      <c r="AN568" s="39"/>
    </row>
    <row r="569" ht="15.75" customHeight="1">
      <c r="A569" s="40"/>
      <c r="T569" s="36"/>
      <c r="U569" s="36"/>
      <c r="V569" s="36"/>
      <c r="W569" s="36"/>
      <c r="X569" s="36"/>
      <c r="AB569" s="37"/>
      <c r="AC569" s="38"/>
      <c r="AN569" s="39"/>
    </row>
    <row r="570" ht="15.75" customHeight="1">
      <c r="A570" s="40"/>
      <c r="T570" s="36"/>
      <c r="U570" s="36"/>
      <c r="V570" s="36"/>
      <c r="W570" s="36"/>
      <c r="X570" s="36"/>
      <c r="AB570" s="37"/>
      <c r="AC570" s="38"/>
      <c r="AN570" s="39"/>
    </row>
    <row r="571" ht="15.75" customHeight="1">
      <c r="A571" s="40"/>
      <c r="T571" s="36"/>
      <c r="U571" s="36"/>
      <c r="V571" s="36"/>
      <c r="W571" s="36"/>
      <c r="X571" s="36"/>
      <c r="AB571" s="37"/>
      <c r="AC571" s="38"/>
      <c r="AN571" s="39"/>
    </row>
    <row r="572" ht="15.75" customHeight="1">
      <c r="A572" s="40"/>
      <c r="T572" s="36"/>
      <c r="U572" s="36"/>
      <c r="V572" s="36"/>
      <c r="W572" s="36"/>
      <c r="X572" s="36"/>
      <c r="AB572" s="37"/>
      <c r="AC572" s="38"/>
      <c r="AN572" s="39"/>
    </row>
    <row r="573" ht="15.75" customHeight="1">
      <c r="A573" s="40"/>
      <c r="T573" s="36"/>
      <c r="U573" s="36"/>
      <c r="V573" s="36"/>
      <c r="W573" s="36"/>
      <c r="X573" s="36"/>
      <c r="AB573" s="37"/>
      <c r="AC573" s="38"/>
      <c r="AN573" s="39"/>
    </row>
    <row r="574" ht="15.75" customHeight="1">
      <c r="A574" s="40"/>
      <c r="T574" s="36"/>
      <c r="U574" s="36"/>
      <c r="V574" s="36"/>
      <c r="W574" s="36"/>
      <c r="X574" s="36"/>
      <c r="AB574" s="37"/>
      <c r="AC574" s="38"/>
      <c r="AN574" s="39"/>
    </row>
    <row r="575" ht="15.75" customHeight="1">
      <c r="A575" s="40"/>
      <c r="T575" s="36"/>
      <c r="U575" s="36"/>
      <c r="V575" s="36"/>
      <c r="W575" s="36"/>
      <c r="X575" s="36"/>
      <c r="AB575" s="37"/>
      <c r="AC575" s="38"/>
      <c r="AN575" s="39"/>
    </row>
    <row r="576" ht="15.75" customHeight="1">
      <c r="A576" s="40"/>
      <c r="T576" s="36"/>
      <c r="U576" s="36"/>
      <c r="V576" s="36"/>
      <c r="W576" s="36"/>
      <c r="X576" s="36"/>
      <c r="AB576" s="37"/>
      <c r="AC576" s="38"/>
      <c r="AN576" s="39"/>
    </row>
    <row r="577" ht="15.75" customHeight="1">
      <c r="A577" s="40"/>
      <c r="T577" s="36"/>
      <c r="U577" s="36"/>
      <c r="V577" s="36"/>
      <c r="W577" s="36"/>
      <c r="X577" s="36"/>
      <c r="AB577" s="37"/>
      <c r="AC577" s="38"/>
      <c r="AN577" s="39"/>
    </row>
    <row r="578" ht="15.75" customHeight="1">
      <c r="A578" s="40"/>
      <c r="T578" s="36"/>
      <c r="U578" s="36"/>
      <c r="V578" s="36"/>
      <c r="W578" s="36"/>
      <c r="X578" s="36"/>
      <c r="AB578" s="37"/>
      <c r="AC578" s="38"/>
      <c r="AN578" s="39"/>
    </row>
    <row r="579" ht="15.75" customHeight="1">
      <c r="A579" s="40"/>
      <c r="T579" s="36"/>
      <c r="U579" s="36"/>
      <c r="V579" s="36"/>
      <c r="W579" s="36"/>
      <c r="X579" s="36"/>
      <c r="AB579" s="37"/>
      <c r="AC579" s="38"/>
      <c r="AN579" s="39"/>
    </row>
    <row r="580" ht="15.75" customHeight="1">
      <c r="A580" s="40"/>
      <c r="T580" s="36"/>
      <c r="U580" s="36"/>
      <c r="V580" s="36"/>
      <c r="W580" s="36"/>
      <c r="X580" s="36"/>
      <c r="AB580" s="37"/>
      <c r="AC580" s="38"/>
      <c r="AN580" s="39"/>
    </row>
    <row r="581" ht="15.75" customHeight="1">
      <c r="A581" s="40"/>
      <c r="T581" s="36"/>
      <c r="U581" s="36"/>
      <c r="V581" s="36"/>
      <c r="W581" s="36"/>
      <c r="X581" s="36"/>
      <c r="AB581" s="37"/>
      <c r="AC581" s="38"/>
      <c r="AN581" s="39"/>
    </row>
    <row r="582" ht="15.75" customHeight="1">
      <c r="A582" s="40"/>
      <c r="T582" s="36"/>
      <c r="U582" s="36"/>
      <c r="V582" s="36"/>
      <c r="W582" s="36"/>
      <c r="X582" s="36"/>
      <c r="AB582" s="37"/>
      <c r="AC582" s="38"/>
      <c r="AN582" s="39"/>
    </row>
    <row r="583" ht="15.75" customHeight="1">
      <c r="A583" s="40"/>
      <c r="T583" s="36"/>
      <c r="U583" s="36"/>
      <c r="V583" s="36"/>
      <c r="W583" s="36"/>
      <c r="X583" s="36"/>
      <c r="AB583" s="37"/>
      <c r="AC583" s="38"/>
      <c r="AN583" s="39"/>
    </row>
    <row r="584" ht="15.75" customHeight="1">
      <c r="A584" s="40"/>
      <c r="T584" s="36"/>
      <c r="U584" s="36"/>
      <c r="V584" s="36"/>
      <c r="W584" s="36"/>
      <c r="X584" s="36"/>
      <c r="AB584" s="37"/>
      <c r="AC584" s="38"/>
      <c r="AN584" s="39"/>
    </row>
    <row r="585" ht="15.75" customHeight="1">
      <c r="A585" s="40"/>
      <c r="T585" s="36"/>
      <c r="U585" s="36"/>
      <c r="V585" s="36"/>
      <c r="W585" s="36"/>
      <c r="X585" s="36"/>
      <c r="AB585" s="37"/>
      <c r="AC585" s="38"/>
      <c r="AN585" s="39"/>
    </row>
    <row r="586" ht="15.75" customHeight="1">
      <c r="A586" s="40"/>
      <c r="T586" s="36"/>
      <c r="U586" s="36"/>
      <c r="V586" s="36"/>
      <c r="W586" s="36"/>
      <c r="X586" s="36"/>
      <c r="AB586" s="37"/>
      <c r="AC586" s="38"/>
      <c r="AN586" s="39"/>
    </row>
    <row r="587" ht="15.75" customHeight="1">
      <c r="A587" s="40"/>
      <c r="T587" s="36"/>
      <c r="U587" s="36"/>
      <c r="V587" s="36"/>
      <c r="W587" s="36"/>
      <c r="X587" s="36"/>
      <c r="AB587" s="37"/>
      <c r="AC587" s="38"/>
      <c r="AN587" s="39"/>
    </row>
    <row r="588" ht="15.75" customHeight="1">
      <c r="A588" s="40"/>
      <c r="T588" s="36"/>
      <c r="U588" s="36"/>
      <c r="V588" s="36"/>
      <c r="W588" s="36"/>
      <c r="X588" s="36"/>
      <c r="AB588" s="37"/>
      <c r="AC588" s="38"/>
      <c r="AN588" s="39"/>
    </row>
    <row r="589" ht="15.75" customHeight="1">
      <c r="A589" s="40"/>
      <c r="T589" s="36"/>
      <c r="U589" s="36"/>
      <c r="V589" s="36"/>
      <c r="W589" s="36"/>
      <c r="X589" s="36"/>
      <c r="AB589" s="37"/>
      <c r="AC589" s="38"/>
      <c r="AN589" s="39"/>
    </row>
    <row r="590" ht="15.75" customHeight="1">
      <c r="A590" s="40"/>
      <c r="T590" s="36"/>
      <c r="U590" s="36"/>
      <c r="V590" s="36"/>
      <c r="W590" s="36"/>
      <c r="X590" s="36"/>
      <c r="AB590" s="37"/>
      <c r="AC590" s="38"/>
      <c r="AN590" s="39"/>
    </row>
    <row r="591" ht="15.75" customHeight="1">
      <c r="A591" s="40"/>
      <c r="T591" s="36"/>
      <c r="U591" s="36"/>
      <c r="V591" s="36"/>
      <c r="W591" s="36"/>
      <c r="X591" s="36"/>
      <c r="AB591" s="37"/>
      <c r="AC591" s="38"/>
      <c r="AN591" s="39"/>
    </row>
    <row r="592" ht="15.75" customHeight="1">
      <c r="A592" s="40"/>
      <c r="T592" s="36"/>
      <c r="U592" s="36"/>
      <c r="V592" s="36"/>
      <c r="W592" s="36"/>
      <c r="X592" s="36"/>
      <c r="AB592" s="37"/>
      <c r="AC592" s="38"/>
      <c r="AN592" s="39"/>
    </row>
    <row r="593" ht="15.75" customHeight="1">
      <c r="A593" s="40"/>
      <c r="T593" s="36"/>
      <c r="U593" s="36"/>
      <c r="V593" s="36"/>
      <c r="W593" s="36"/>
      <c r="X593" s="36"/>
      <c r="AB593" s="37"/>
      <c r="AC593" s="38"/>
      <c r="AN593" s="39"/>
    </row>
    <row r="594" ht="15.75" customHeight="1">
      <c r="A594" s="40"/>
      <c r="T594" s="36"/>
      <c r="U594" s="36"/>
      <c r="V594" s="36"/>
      <c r="W594" s="36"/>
      <c r="X594" s="36"/>
      <c r="AB594" s="37"/>
      <c r="AC594" s="38"/>
      <c r="AN594" s="39"/>
    </row>
    <row r="595" ht="15.75" customHeight="1">
      <c r="A595" s="40"/>
      <c r="T595" s="36"/>
      <c r="U595" s="36"/>
      <c r="V595" s="36"/>
      <c r="W595" s="36"/>
      <c r="X595" s="36"/>
      <c r="AB595" s="37"/>
      <c r="AC595" s="38"/>
      <c r="AN595" s="39"/>
    </row>
    <row r="596" ht="15.75" customHeight="1">
      <c r="A596" s="40"/>
      <c r="T596" s="36"/>
      <c r="U596" s="36"/>
      <c r="V596" s="36"/>
      <c r="W596" s="36"/>
      <c r="X596" s="36"/>
      <c r="AB596" s="37"/>
      <c r="AC596" s="38"/>
      <c r="AN596" s="39"/>
    </row>
    <row r="597" ht="15.75" customHeight="1">
      <c r="A597" s="40"/>
      <c r="T597" s="36"/>
      <c r="U597" s="36"/>
      <c r="V597" s="36"/>
      <c r="W597" s="36"/>
      <c r="X597" s="36"/>
      <c r="AB597" s="37"/>
      <c r="AC597" s="38"/>
      <c r="AN597" s="39"/>
    </row>
    <row r="598" ht="15.75" customHeight="1">
      <c r="A598" s="40"/>
      <c r="T598" s="36"/>
      <c r="U598" s="36"/>
      <c r="V598" s="36"/>
      <c r="W598" s="36"/>
      <c r="X598" s="36"/>
      <c r="AB598" s="37"/>
      <c r="AC598" s="38"/>
      <c r="AN598" s="39"/>
    </row>
    <row r="599" ht="15.75" customHeight="1">
      <c r="A599" s="40"/>
      <c r="T599" s="36"/>
      <c r="U599" s="36"/>
      <c r="V599" s="36"/>
      <c r="W599" s="36"/>
      <c r="X599" s="36"/>
      <c r="AB599" s="37"/>
      <c r="AC599" s="38"/>
      <c r="AN599" s="39"/>
    </row>
    <row r="600" ht="15.75" customHeight="1">
      <c r="A600" s="40"/>
      <c r="T600" s="36"/>
      <c r="U600" s="36"/>
      <c r="V600" s="36"/>
      <c r="W600" s="36"/>
      <c r="X600" s="36"/>
      <c r="AB600" s="37"/>
      <c r="AC600" s="38"/>
      <c r="AN600" s="39"/>
    </row>
    <row r="601" ht="15.75" customHeight="1">
      <c r="A601" s="40"/>
      <c r="T601" s="36"/>
      <c r="U601" s="36"/>
      <c r="V601" s="36"/>
      <c r="W601" s="36"/>
      <c r="X601" s="36"/>
      <c r="AB601" s="37"/>
      <c r="AC601" s="38"/>
      <c r="AN601" s="39"/>
    </row>
    <row r="602" ht="15.75" customHeight="1">
      <c r="A602" s="40"/>
      <c r="T602" s="36"/>
      <c r="U602" s="36"/>
      <c r="V602" s="36"/>
      <c r="W602" s="36"/>
      <c r="X602" s="36"/>
      <c r="AB602" s="37"/>
      <c r="AC602" s="38"/>
      <c r="AN602" s="39"/>
    </row>
    <row r="603" ht="15.75" customHeight="1">
      <c r="A603" s="40"/>
      <c r="T603" s="36"/>
      <c r="U603" s="36"/>
      <c r="V603" s="36"/>
      <c r="W603" s="36"/>
      <c r="X603" s="36"/>
      <c r="AB603" s="37"/>
      <c r="AC603" s="38"/>
      <c r="AN603" s="39"/>
    </row>
    <row r="604" ht="15.75" customHeight="1">
      <c r="A604" s="40"/>
      <c r="T604" s="36"/>
      <c r="U604" s="36"/>
      <c r="V604" s="36"/>
      <c r="W604" s="36"/>
      <c r="X604" s="36"/>
      <c r="AB604" s="37"/>
      <c r="AC604" s="38"/>
      <c r="AN604" s="39"/>
    </row>
    <row r="605" ht="15.75" customHeight="1">
      <c r="A605" s="40"/>
      <c r="T605" s="36"/>
      <c r="U605" s="36"/>
      <c r="V605" s="36"/>
      <c r="W605" s="36"/>
      <c r="X605" s="36"/>
      <c r="AB605" s="37"/>
      <c r="AC605" s="38"/>
      <c r="AN605" s="39"/>
    </row>
    <row r="606" ht="15.75" customHeight="1">
      <c r="A606" s="40"/>
      <c r="T606" s="36"/>
      <c r="U606" s="36"/>
      <c r="V606" s="36"/>
      <c r="W606" s="36"/>
      <c r="X606" s="36"/>
      <c r="AB606" s="37"/>
      <c r="AC606" s="38"/>
      <c r="AN606" s="39"/>
    </row>
    <row r="607" ht="15.75" customHeight="1">
      <c r="A607" s="40"/>
      <c r="T607" s="36"/>
      <c r="U607" s="36"/>
      <c r="V607" s="36"/>
      <c r="W607" s="36"/>
      <c r="X607" s="36"/>
      <c r="AB607" s="37"/>
      <c r="AC607" s="38"/>
      <c r="AN607" s="39"/>
    </row>
    <row r="608" ht="15.75" customHeight="1">
      <c r="A608" s="40"/>
      <c r="T608" s="36"/>
      <c r="U608" s="36"/>
      <c r="V608" s="36"/>
      <c r="W608" s="36"/>
      <c r="X608" s="36"/>
      <c r="AB608" s="37"/>
      <c r="AC608" s="38"/>
      <c r="AN608" s="39"/>
    </row>
    <row r="609" ht="15.75" customHeight="1">
      <c r="A609" s="40"/>
      <c r="T609" s="36"/>
      <c r="U609" s="36"/>
      <c r="V609" s="36"/>
      <c r="W609" s="36"/>
      <c r="X609" s="36"/>
      <c r="AB609" s="37"/>
      <c r="AC609" s="38"/>
      <c r="AN609" s="39"/>
    </row>
    <row r="610" ht="15.75" customHeight="1">
      <c r="A610" s="40"/>
      <c r="T610" s="36"/>
      <c r="U610" s="36"/>
      <c r="V610" s="36"/>
      <c r="W610" s="36"/>
      <c r="X610" s="36"/>
      <c r="AB610" s="37"/>
      <c r="AC610" s="38"/>
      <c r="AN610" s="39"/>
    </row>
    <row r="611" ht="15.75" customHeight="1">
      <c r="A611" s="40"/>
      <c r="T611" s="36"/>
      <c r="U611" s="36"/>
      <c r="V611" s="36"/>
      <c r="W611" s="36"/>
      <c r="X611" s="36"/>
      <c r="AB611" s="37"/>
      <c r="AC611" s="38"/>
      <c r="AN611" s="39"/>
    </row>
    <row r="612" ht="15.75" customHeight="1">
      <c r="A612" s="40"/>
      <c r="T612" s="36"/>
      <c r="U612" s="36"/>
      <c r="V612" s="36"/>
      <c r="W612" s="36"/>
      <c r="X612" s="36"/>
      <c r="AB612" s="37"/>
      <c r="AC612" s="38"/>
      <c r="AN612" s="39"/>
    </row>
    <row r="613" ht="15.75" customHeight="1">
      <c r="A613" s="40"/>
      <c r="T613" s="36"/>
      <c r="U613" s="36"/>
      <c r="V613" s="36"/>
      <c r="W613" s="36"/>
      <c r="X613" s="36"/>
      <c r="AB613" s="37"/>
      <c r="AC613" s="38"/>
      <c r="AN613" s="39"/>
    </row>
    <row r="614" ht="15.75" customHeight="1">
      <c r="A614" s="40"/>
      <c r="T614" s="36"/>
      <c r="U614" s="36"/>
      <c r="V614" s="36"/>
      <c r="W614" s="36"/>
      <c r="X614" s="36"/>
      <c r="AB614" s="37"/>
      <c r="AC614" s="38"/>
      <c r="AN614" s="39"/>
    </row>
    <row r="615" ht="15.75" customHeight="1">
      <c r="A615" s="40"/>
      <c r="T615" s="36"/>
      <c r="U615" s="36"/>
      <c r="V615" s="36"/>
      <c r="W615" s="36"/>
      <c r="X615" s="36"/>
      <c r="AB615" s="37"/>
      <c r="AC615" s="38"/>
      <c r="AN615" s="39"/>
    </row>
    <row r="616" ht="15.75" customHeight="1">
      <c r="A616" s="40"/>
      <c r="T616" s="36"/>
      <c r="U616" s="36"/>
      <c r="V616" s="36"/>
      <c r="W616" s="36"/>
      <c r="X616" s="36"/>
      <c r="AB616" s="37"/>
      <c r="AC616" s="38"/>
      <c r="AN616" s="39"/>
    </row>
    <row r="617" ht="15.75" customHeight="1">
      <c r="A617" s="40"/>
      <c r="T617" s="36"/>
      <c r="U617" s="36"/>
      <c r="V617" s="36"/>
      <c r="W617" s="36"/>
      <c r="X617" s="36"/>
      <c r="AB617" s="37"/>
      <c r="AC617" s="38"/>
      <c r="AN617" s="39"/>
    </row>
    <row r="618" ht="15.75" customHeight="1">
      <c r="A618" s="40"/>
      <c r="T618" s="36"/>
      <c r="U618" s="36"/>
      <c r="V618" s="36"/>
      <c r="W618" s="36"/>
      <c r="X618" s="36"/>
      <c r="AB618" s="37"/>
      <c r="AC618" s="38"/>
      <c r="AN618" s="39"/>
    </row>
    <row r="619" ht="15.75" customHeight="1">
      <c r="A619" s="40"/>
      <c r="T619" s="36"/>
      <c r="U619" s="36"/>
      <c r="V619" s="36"/>
      <c r="W619" s="36"/>
      <c r="X619" s="36"/>
      <c r="AB619" s="37"/>
      <c r="AC619" s="38"/>
      <c r="AN619" s="39"/>
    </row>
    <row r="620" ht="15.75" customHeight="1">
      <c r="A620" s="40"/>
      <c r="T620" s="36"/>
      <c r="U620" s="36"/>
      <c r="V620" s="36"/>
      <c r="W620" s="36"/>
      <c r="X620" s="36"/>
      <c r="AB620" s="37"/>
      <c r="AC620" s="38"/>
      <c r="AN620" s="39"/>
    </row>
    <row r="621" ht="15.75" customHeight="1">
      <c r="A621" s="40"/>
      <c r="T621" s="36"/>
      <c r="U621" s="36"/>
      <c r="V621" s="36"/>
      <c r="W621" s="36"/>
      <c r="X621" s="36"/>
      <c r="AB621" s="37"/>
      <c r="AC621" s="38"/>
      <c r="AN621" s="39"/>
    </row>
    <row r="622" ht="15.75" customHeight="1">
      <c r="A622" s="40"/>
      <c r="T622" s="36"/>
      <c r="U622" s="36"/>
      <c r="V622" s="36"/>
      <c r="W622" s="36"/>
      <c r="X622" s="36"/>
      <c r="AB622" s="37"/>
      <c r="AC622" s="38"/>
      <c r="AN622" s="39"/>
    </row>
    <row r="623" ht="15.75" customHeight="1">
      <c r="A623" s="40"/>
      <c r="T623" s="36"/>
      <c r="U623" s="36"/>
      <c r="V623" s="36"/>
      <c r="W623" s="36"/>
      <c r="X623" s="36"/>
      <c r="AB623" s="37"/>
      <c r="AC623" s="38"/>
      <c r="AN623" s="39"/>
    </row>
    <row r="624" ht="15.75" customHeight="1">
      <c r="A624" s="40"/>
      <c r="T624" s="36"/>
      <c r="U624" s="36"/>
      <c r="V624" s="36"/>
      <c r="W624" s="36"/>
      <c r="X624" s="36"/>
      <c r="AB624" s="37"/>
      <c r="AC624" s="38"/>
      <c r="AN624" s="39"/>
    </row>
    <row r="625" ht="15.75" customHeight="1">
      <c r="A625" s="40"/>
      <c r="T625" s="36"/>
      <c r="U625" s="36"/>
      <c r="V625" s="36"/>
      <c r="W625" s="36"/>
      <c r="X625" s="36"/>
      <c r="AB625" s="37"/>
      <c r="AC625" s="38"/>
      <c r="AN625" s="39"/>
    </row>
    <row r="626" ht="15.75" customHeight="1">
      <c r="A626" s="40"/>
      <c r="T626" s="36"/>
      <c r="U626" s="36"/>
      <c r="V626" s="36"/>
      <c r="W626" s="36"/>
      <c r="X626" s="36"/>
      <c r="AB626" s="37"/>
      <c r="AC626" s="38"/>
      <c r="AN626" s="39"/>
    </row>
    <row r="627" ht="15.75" customHeight="1">
      <c r="A627" s="40"/>
      <c r="T627" s="36"/>
      <c r="U627" s="36"/>
      <c r="V627" s="36"/>
      <c r="W627" s="36"/>
      <c r="X627" s="36"/>
      <c r="AB627" s="37"/>
      <c r="AC627" s="38"/>
      <c r="AN627" s="39"/>
    </row>
    <row r="628" ht="15.75" customHeight="1">
      <c r="A628" s="40"/>
      <c r="T628" s="36"/>
      <c r="U628" s="36"/>
      <c r="V628" s="36"/>
      <c r="W628" s="36"/>
      <c r="X628" s="36"/>
      <c r="AB628" s="37"/>
      <c r="AC628" s="38"/>
      <c r="AN628" s="39"/>
    </row>
    <row r="629" ht="15.75" customHeight="1">
      <c r="A629" s="40"/>
      <c r="T629" s="36"/>
      <c r="U629" s="36"/>
      <c r="V629" s="36"/>
      <c r="W629" s="36"/>
      <c r="X629" s="36"/>
      <c r="AB629" s="37"/>
      <c r="AC629" s="38"/>
      <c r="AN629" s="39"/>
    </row>
    <row r="630" ht="15.75" customHeight="1">
      <c r="A630" s="40"/>
      <c r="T630" s="36"/>
      <c r="U630" s="36"/>
      <c r="V630" s="36"/>
      <c r="W630" s="36"/>
      <c r="X630" s="36"/>
      <c r="AB630" s="37"/>
      <c r="AC630" s="38"/>
      <c r="AN630" s="39"/>
    </row>
    <row r="631" ht="15.75" customHeight="1">
      <c r="A631" s="40"/>
      <c r="T631" s="36"/>
      <c r="U631" s="36"/>
      <c r="V631" s="36"/>
      <c r="W631" s="36"/>
      <c r="X631" s="36"/>
      <c r="AB631" s="37"/>
      <c r="AC631" s="38"/>
      <c r="AN631" s="39"/>
    </row>
    <row r="632" ht="15.75" customHeight="1">
      <c r="A632" s="40"/>
      <c r="T632" s="36"/>
      <c r="U632" s="36"/>
      <c r="V632" s="36"/>
      <c r="W632" s="36"/>
      <c r="X632" s="36"/>
      <c r="AB632" s="37"/>
      <c r="AC632" s="38"/>
      <c r="AN632" s="39"/>
    </row>
    <row r="633" ht="15.75" customHeight="1">
      <c r="A633" s="40"/>
      <c r="T633" s="36"/>
      <c r="U633" s="36"/>
      <c r="V633" s="36"/>
      <c r="W633" s="36"/>
      <c r="X633" s="36"/>
      <c r="AB633" s="37"/>
      <c r="AC633" s="38"/>
      <c r="AN633" s="39"/>
    </row>
    <row r="634" ht="15.75" customHeight="1">
      <c r="A634" s="40"/>
      <c r="T634" s="36"/>
      <c r="U634" s="36"/>
      <c r="V634" s="36"/>
      <c r="W634" s="36"/>
      <c r="X634" s="36"/>
      <c r="AB634" s="37"/>
      <c r="AC634" s="38"/>
      <c r="AN634" s="39"/>
    </row>
    <row r="635" ht="15.75" customHeight="1">
      <c r="A635" s="40"/>
      <c r="T635" s="36"/>
      <c r="U635" s="36"/>
      <c r="V635" s="36"/>
      <c r="W635" s="36"/>
      <c r="X635" s="36"/>
      <c r="AB635" s="37"/>
      <c r="AC635" s="38"/>
      <c r="AN635" s="39"/>
    </row>
    <row r="636" ht="15.75" customHeight="1">
      <c r="A636" s="40"/>
      <c r="T636" s="36"/>
      <c r="U636" s="36"/>
      <c r="V636" s="36"/>
      <c r="W636" s="36"/>
      <c r="X636" s="36"/>
      <c r="AB636" s="37"/>
      <c r="AC636" s="38"/>
      <c r="AN636" s="39"/>
    </row>
    <row r="637" ht="15.75" customHeight="1">
      <c r="A637" s="40"/>
      <c r="T637" s="36"/>
      <c r="U637" s="36"/>
      <c r="V637" s="36"/>
      <c r="W637" s="36"/>
      <c r="X637" s="36"/>
      <c r="AB637" s="37"/>
      <c r="AC637" s="38"/>
      <c r="AN637" s="39"/>
    </row>
    <row r="638" ht="15.75" customHeight="1">
      <c r="A638" s="40"/>
      <c r="T638" s="36"/>
      <c r="U638" s="36"/>
      <c r="V638" s="36"/>
      <c r="W638" s="36"/>
      <c r="X638" s="36"/>
      <c r="AB638" s="37"/>
      <c r="AC638" s="38"/>
      <c r="AN638" s="39"/>
    </row>
    <row r="639" ht="15.75" customHeight="1">
      <c r="A639" s="40"/>
      <c r="T639" s="36"/>
      <c r="U639" s="36"/>
      <c r="V639" s="36"/>
      <c r="W639" s="36"/>
      <c r="X639" s="36"/>
      <c r="AB639" s="37"/>
      <c r="AC639" s="38"/>
      <c r="AN639" s="39"/>
    </row>
    <row r="640" ht="15.75" customHeight="1">
      <c r="A640" s="40"/>
      <c r="T640" s="36"/>
      <c r="U640" s="36"/>
      <c r="V640" s="36"/>
      <c r="W640" s="36"/>
      <c r="X640" s="36"/>
      <c r="AB640" s="37"/>
      <c r="AC640" s="38"/>
      <c r="AN640" s="39"/>
    </row>
    <row r="641" ht="15.75" customHeight="1">
      <c r="A641" s="40"/>
      <c r="T641" s="36"/>
      <c r="U641" s="36"/>
      <c r="V641" s="36"/>
      <c r="W641" s="36"/>
      <c r="X641" s="36"/>
      <c r="AB641" s="37"/>
      <c r="AC641" s="38"/>
      <c r="AN641" s="39"/>
    </row>
    <row r="642" ht="15.75" customHeight="1">
      <c r="A642" s="40"/>
      <c r="T642" s="36"/>
      <c r="U642" s="36"/>
      <c r="V642" s="36"/>
      <c r="W642" s="36"/>
      <c r="X642" s="36"/>
      <c r="AB642" s="37"/>
      <c r="AC642" s="38"/>
      <c r="AN642" s="39"/>
    </row>
    <row r="643" ht="15.75" customHeight="1">
      <c r="A643" s="40"/>
      <c r="T643" s="36"/>
      <c r="U643" s="36"/>
      <c r="V643" s="36"/>
      <c r="W643" s="36"/>
      <c r="X643" s="36"/>
      <c r="AB643" s="37"/>
      <c r="AC643" s="38"/>
      <c r="AN643" s="39"/>
    </row>
    <row r="644" ht="15.75" customHeight="1">
      <c r="A644" s="40"/>
      <c r="T644" s="36"/>
      <c r="U644" s="36"/>
      <c r="V644" s="36"/>
      <c r="W644" s="36"/>
      <c r="X644" s="36"/>
      <c r="AB644" s="37"/>
      <c r="AC644" s="38"/>
      <c r="AN644" s="39"/>
    </row>
    <row r="645" ht="15.75" customHeight="1">
      <c r="A645" s="40"/>
      <c r="T645" s="36"/>
      <c r="U645" s="36"/>
      <c r="V645" s="36"/>
      <c r="W645" s="36"/>
      <c r="X645" s="36"/>
      <c r="AB645" s="37"/>
      <c r="AC645" s="38"/>
      <c r="AN645" s="39"/>
    </row>
    <row r="646" ht="15.75" customHeight="1">
      <c r="A646" s="40"/>
      <c r="T646" s="36"/>
      <c r="U646" s="36"/>
      <c r="V646" s="36"/>
      <c r="W646" s="36"/>
      <c r="X646" s="36"/>
      <c r="AB646" s="37"/>
      <c r="AC646" s="38"/>
      <c r="AN646" s="39"/>
    </row>
    <row r="647" ht="15.75" customHeight="1">
      <c r="A647" s="40"/>
      <c r="T647" s="36"/>
      <c r="U647" s="36"/>
      <c r="V647" s="36"/>
      <c r="W647" s="36"/>
      <c r="X647" s="36"/>
      <c r="AB647" s="37"/>
      <c r="AC647" s="38"/>
      <c r="AN647" s="39"/>
    </row>
    <row r="648" ht="15.75" customHeight="1">
      <c r="A648" s="40"/>
      <c r="T648" s="36"/>
      <c r="U648" s="36"/>
      <c r="V648" s="36"/>
      <c r="W648" s="36"/>
      <c r="X648" s="36"/>
      <c r="AB648" s="37"/>
      <c r="AC648" s="38"/>
      <c r="AN648" s="39"/>
    </row>
    <row r="649" ht="15.75" customHeight="1">
      <c r="A649" s="40"/>
      <c r="T649" s="36"/>
      <c r="U649" s="36"/>
      <c r="V649" s="36"/>
      <c r="W649" s="36"/>
      <c r="X649" s="36"/>
      <c r="AB649" s="37"/>
      <c r="AC649" s="38"/>
      <c r="AN649" s="39"/>
    </row>
    <row r="650" ht="15.75" customHeight="1">
      <c r="A650" s="40"/>
      <c r="T650" s="36"/>
      <c r="U650" s="36"/>
      <c r="V650" s="36"/>
      <c r="W650" s="36"/>
      <c r="X650" s="36"/>
      <c r="AB650" s="37"/>
      <c r="AC650" s="38"/>
      <c r="AN650" s="39"/>
    </row>
    <row r="651" ht="15.75" customHeight="1">
      <c r="A651" s="40"/>
      <c r="T651" s="36"/>
      <c r="U651" s="36"/>
      <c r="V651" s="36"/>
      <c r="W651" s="36"/>
      <c r="X651" s="36"/>
      <c r="AB651" s="37"/>
      <c r="AC651" s="38"/>
      <c r="AN651" s="39"/>
    </row>
    <row r="652" ht="15.75" customHeight="1">
      <c r="A652" s="40"/>
      <c r="T652" s="36"/>
      <c r="U652" s="36"/>
      <c r="V652" s="36"/>
      <c r="W652" s="36"/>
      <c r="X652" s="36"/>
      <c r="AB652" s="37"/>
      <c r="AC652" s="38"/>
      <c r="AN652" s="39"/>
    </row>
    <row r="653" ht="15.75" customHeight="1">
      <c r="A653" s="40"/>
      <c r="T653" s="36"/>
      <c r="U653" s="36"/>
      <c r="V653" s="36"/>
      <c r="W653" s="36"/>
      <c r="X653" s="36"/>
      <c r="AB653" s="37"/>
      <c r="AC653" s="38"/>
      <c r="AN653" s="39"/>
    </row>
    <row r="654" ht="15.75" customHeight="1">
      <c r="A654" s="40"/>
      <c r="T654" s="36"/>
      <c r="U654" s="36"/>
      <c r="V654" s="36"/>
      <c r="W654" s="36"/>
      <c r="X654" s="36"/>
      <c r="AB654" s="37"/>
      <c r="AC654" s="38"/>
      <c r="AN654" s="39"/>
    </row>
    <row r="655" ht="15.75" customHeight="1">
      <c r="A655" s="40"/>
      <c r="T655" s="36"/>
      <c r="U655" s="36"/>
      <c r="V655" s="36"/>
      <c r="W655" s="36"/>
      <c r="X655" s="36"/>
      <c r="AB655" s="37"/>
      <c r="AC655" s="38"/>
      <c r="AN655" s="39"/>
    </row>
    <row r="656" ht="15.75" customHeight="1">
      <c r="A656" s="40"/>
      <c r="T656" s="36"/>
      <c r="U656" s="36"/>
      <c r="V656" s="36"/>
      <c r="W656" s="36"/>
      <c r="X656" s="36"/>
      <c r="AB656" s="37"/>
      <c r="AC656" s="38"/>
      <c r="AN656" s="39"/>
    </row>
    <row r="657" ht="15.75" customHeight="1">
      <c r="A657" s="40"/>
      <c r="T657" s="36"/>
      <c r="U657" s="36"/>
      <c r="V657" s="36"/>
      <c r="W657" s="36"/>
      <c r="X657" s="36"/>
      <c r="AB657" s="37"/>
      <c r="AC657" s="38"/>
      <c r="AN657" s="39"/>
    </row>
    <row r="658" ht="15.75" customHeight="1">
      <c r="A658" s="40"/>
      <c r="T658" s="36"/>
      <c r="U658" s="36"/>
      <c r="V658" s="36"/>
      <c r="W658" s="36"/>
      <c r="X658" s="36"/>
      <c r="AB658" s="37"/>
      <c r="AC658" s="38"/>
      <c r="AN658" s="39"/>
    </row>
    <row r="659" ht="15.75" customHeight="1">
      <c r="A659" s="40"/>
      <c r="T659" s="36"/>
      <c r="U659" s="36"/>
      <c r="V659" s="36"/>
      <c r="W659" s="36"/>
      <c r="X659" s="36"/>
      <c r="AB659" s="37"/>
      <c r="AC659" s="38"/>
      <c r="AN659" s="39"/>
    </row>
    <row r="660" ht="15.75" customHeight="1">
      <c r="A660" s="40"/>
      <c r="T660" s="36"/>
      <c r="U660" s="36"/>
      <c r="V660" s="36"/>
      <c r="W660" s="36"/>
      <c r="X660" s="36"/>
      <c r="AB660" s="37"/>
      <c r="AC660" s="38"/>
      <c r="AN660" s="39"/>
    </row>
    <row r="661" ht="15.75" customHeight="1">
      <c r="A661" s="40"/>
      <c r="T661" s="36"/>
      <c r="U661" s="36"/>
      <c r="V661" s="36"/>
      <c r="W661" s="36"/>
      <c r="X661" s="36"/>
      <c r="AB661" s="37"/>
      <c r="AC661" s="38"/>
      <c r="AN661" s="39"/>
    </row>
    <row r="662" ht="15.75" customHeight="1">
      <c r="A662" s="40"/>
      <c r="T662" s="36"/>
      <c r="U662" s="36"/>
      <c r="V662" s="36"/>
      <c r="W662" s="36"/>
      <c r="X662" s="36"/>
      <c r="AB662" s="37"/>
      <c r="AC662" s="38"/>
      <c r="AN662" s="39"/>
    </row>
    <row r="663" ht="15.75" customHeight="1">
      <c r="A663" s="40"/>
      <c r="T663" s="36"/>
      <c r="U663" s="36"/>
      <c r="V663" s="36"/>
      <c r="W663" s="36"/>
      <c r="X663" s="36"/>
      <c r="AB663" s="37"/>
      <c r="AC663" s="38"/>
      <c r="AN663" s="39"/>
    </row>
    <row r="664" ht="15.75" customHeight="1">
      <c r="A664" s="40"/>
      <c r="T664" s="36"/>
      <c r="U664" s="36"/>
      <c r="V664" s="36"/>
      <c r="W664" s="36"/>
      <c r="X664" s="36"/>
      <c r="AB664" s="37"/>
      <c r="AC664" s="38"/>
      <c r="AN664" s="39"/>
    </row>
    <row r="665" ht="15.75" customHeight="1">
      <c r="A665" s="40"/>
      <c r="T665" s="36"/>
      <c r="U665" s="36"/>
      <c r="V665" s="36"/>
      <c r="W665" s="36"/>
      <c r="X665" s="36"/>
      <c r="AB665" s="37"/>
      <c r="AC665" s="38"/>
      <c r="AN665" s="39"/>
    </row>
    <row r="666" ht="15.75" customHeight="1">
      <c r="A666" s="40"/>
      <c r="T666" s="36"/>
      <c r="U666" s="36"/>
      <c r="V666" s="36"/>
      <c r="W666" s="36"/>
      <c r="X666" s="36"/>
      <c r="AB666" s="37"/>
      <c r="AC666" s="38"/>
      <c r="AN666" s="39"/>
    </row>
    <row r="667" ht="15.75" customHeight="1">
      <c r="A667" s="40"/>
      <c r="T667" s="36"/>
      <c r="U667" s="36"/>
      <c r="V667" s="36"/>
      <c r="W667" s="36"/>
      <c r="X667" s="36"/>
      <c r="AB667" s="37"/>
      <c r="AC667" s="38"/>
      <c r="AN667" s="39"/>
    </row>
    <row r="668" ht="15.75" customHeight="1">
      <c r="A668" s="40"/>
      <c r="T668" s="36"/>
      <c r="U668" s="36"/>
      <c r="V668" s="36"/>
      <c r="W668" s="36"/>
      <c r="X668" s="36"/>
      <c r="AB668" s="37"/>
      <c r="AC668" s="38"/>
      <c r="AN668" s="39"/>
    </row>
    <row r="669" ht="15.75" customHeight="1">
      <c r="A669" s="40"/>
      <c r="T669" s="36"/>
      <c r="U669" s="36"/>
      <c r="V669" s="36"/>
      <c r="W669" s="36"/>
      <c r="X669" s="36"/>
      <c r="AB669" s="37"/>
      <c r="AC669" s="38"/>
      <c r="AN669" s="39"/>
    </row>
    <row r="670" ht="15.75" customHeight="1">
      <c r="A670" s="40"/>
      <c r="T670" s="36"/>
      <c r="U670" s="36"/>
      <c r="V670" s="36"/>
      <c r="W670" s="36"/>
      <c r="X670" s="36"/>
      <c r="AB670" s="37"/>
      <c r="AC670" s="38"/>
      <c r="AN670" s="39"/>
    </row>
    <row r="671" ht="15.75" customHeight="1">
      <c r="A671" s="40"/>
      <c r="T671" s="36"/>
      <c r="U671" s="36"/>
      <c r="V671" s="36"/>
      <c r="W671" s="36"/>
      <c r="X671" s="36"/>
      <c r="AB671" s="37"/>
      <c r="AC671" s="38"/>
      <c r="AN671" s="39"/>
    </row>
    <row r="672" ht="15.75" customHeight="1">
      <c r="A672" s="40"/>
      <c r="T672" s="36"/>
      <c r="U672" s="36"/>
      <c r="V672" s="36"/>
      <c r="W672" s="36"/>
      <c r="X672" s="36"/>
      <c r="AB672" s="37"/>
      <c r="AC672" s="38"/>
      <c r="AN672" s="39"/>
    </row>
    <row r="673" ht="15.75" customHeight="1">
      <c r="A673" s="40"/>
      <c r="T673" s="36"/>
      <c r="U673" s="36"/>
      <c r="V673" s="36"/>
      <c r="W673" s="36"/>
      <c r="X673" s="36"/>
      <c r="AB673" s="37"/>
      <c r="AC673" s="38"/>
      <c r="AN673" s="39"/>
    </row>
    <row r="674" ht="15.75" customHeight="1">
      <c r="A674" s="40"/>
      <c r="T674" s="36"/>
      <c r="U674" s="36"/>
      <c r="V674" s="36"/>
      <c r="W674" s="36"/>
      <c r="X674" s="36"/>
      <c r="AB674" s="37"/>
      <c r="AC674" s="38"/>
      <c r="AN674" s="39"/>
    </row>
    <row r="675" ht="15.75" customHeight="1">
      <c r="A675" s="40"/>
      <c r="T675" s="36"/>
      <c r="U675" s="36"/>
      <c r="V675" s="36"/>
      <c r="W675" s="36"/>
      <c r="X675" s="36"/>
      <c r="AB675" s="37"/>
      <c r="AC675" s="38"/>
      <c r="AN675" s="39"/>
    </row>
    <row r="676" ht="15.75" customHeight="1">
      <c r="A676" s="40"/>
      <c r="T676" s="36"/>
      <c r="U676" s="36"/>
      <c r="V676" s="36"/>
      <c r="W676" s="36"/>
      <c r="X676" s="36"/>
      <c r="AB676" s="37"/>
      <c r="AC676" s="38"/>
      <c r="AN676" s="39"/>
    </row>
    <row r="677" ht="15.75" customHeight="1">
      <c r="A677" s="40"/>
      <c r="T677" s="36"/>
      <c r="U677" s="36"/>
      <c r="V677" s="36"/>
      <c r="W677" s="36"/>
      <c r="X677" s="36"/>
      <c r="AB677" s="37"/>
      <c r="AC677" s="38"/>
      <c r="AN677" s="39"/>
    </row>
    <row r="678" ht="15.75" customHeight="1">
      <c r="A678" s="40"/>
      <c r="T678" s="36"/>
      <c r="U678" s="36"/>
      <c r="V678" s="36"/>
      <c r="W678" s="36"/>
      <c r="X678" s="36"/>
      <c r="AB678" s="37"/>
      <c r="AC678" s="38"/>
      <c r="AN678" s="39"/>
    </row>
    <row r="679" ht="15.75" customHeight="1">
      <c r="A679" s="40"/>
      <c r="T679" s="36"/>
      <c r="U679" s="36"/>
      <c r="V679" s="36"/>
      <c r="W679" s="36"/>
      <c r="X679" s="36"/>
      <c r="AB679" s="37"/>
      <c r="AC679" s="38"/>
      <c r="AN679" s="39"/>
    </row>
    <row r="680" ht="15.75" customHeight="1">
      <c r="A680" s="40"/>
      <c r="T680" s="36"/>
      <c r="U680" s="36"/>
      <c r="V680" s="36"/>
      <c r="W680" s="36"/>
      <c r="X680" s="36"/>
      <c r="AB680" s="37"/>
      <c r="AC680" s="38"/>
      <c r="AN680" s="39"/>
    </row>
    <row r="681" ht="15.75" customHeight="1">
      <c r="A681" s="40"/>
      <c r="T681" s="36"/>
      <c r="U681" s="36"/>
      <c r="V681" s="36"/>
      <c r="W681" s="36"/>
      <c r="X681" s="36"/>
      <c r="AB681" s="37"/>
      <c r="AC681" s="38"/>
      <c r="AN681" s="39"/>
    </row>
    <row r="682" ht="15.75" customHeight="1">
      <c r="A682" s="40"/>
      <c r="T682" s="36"/>
      <c r="U682" s="36"/>
      <c r="V682" s="36"/>
      <c r="W682" s="36"/>
      <c r="X682" s="36"/>
      <c r="AB682" s="37"/>
      <c r="AC682" s="38"/>
      <c r="AN682" s="39"/>
    </row>
    <row r="683" ht="15.75" customHeight="1">
      <c r="A683" s="40"/>
      <c r="T683" s="36"/>
      <c r="U683" s="36"/>
      <c r="V683" s="36"/>
      <c r="W683" s="36"/>
      <c r="X683" s="36"/>
      <c r="AB683" s="37"/>
      <c r="AC683" s="38"/>
      <c r="AN683" s="39"/>
    </row>
    <row r="684" ht="15.75" customHeight="1">
      <c r="A684" s="40"/>
      <c r="T684" s="36"/>
      <c r="U684" s="36"/>
      <c r="V684" s="36"/>
      <c r="W684" s="36"/>
      <c r="X684" s="36"/>
      <c r="AB684" s="37"/>
      <c r="AC684" s="38"/>
      <c r="AN684" s="39"/>
    </row>
    <row r="685" ht="15.75" customHeight="1">
      <c r="A685" s="40"/>
      <c r="T685" s="36"/>
      <c r="U685" s="36"/>
      <c r="V685" s="36"/>
      <c r="W685" s="36"/>
      <c r="X685" s="36"/>
      <c r="AB685" s="37"/>
      <c r="AC685" s="38"/>
      <c r="AN685" s="39"/>
    </row>
    <row r="686" ht="15.75" customHeight="1">
      <c r="A686" s="40"/>
      <c r="T686" s="36"/>
      <c r="U686" s="36"/>
      <c r="V686" s="36"/>
      <c r="W686" s="36"/>
      <c r="X686" s="36"/>
      <c r="AB686" s="37"/>
      <c r="AC686" s="38"/>
      <c r="AN686" s="39"/>
    </row>
    <row r="687" ht="15.75" customHeight="1">
      <c r="A687" s="40"/>
      <c r="T687" s="36"/>
      <c r="U687" s="36"/>
      <c r="V687" s="36"/>
      <c r="W687" s="36"/>
      <c r="X687" s="36"/>
      <c r="AB687" s="37"/>
      <c r="AC687" s="38"/>
      <c r="AN687" s="39"/>
    </row>
    <row r="688" ht="15.75" customHeight="1">
      <c r="A688" s="40"/>
      <c r="T688" s="36"/>
      <c r="U688" s="36"/>
      <c r="V688" s="36"/>
      <c r="W688" s="36"/>
      <c r="X688" s="36"/>
      <c r="AB688" s="37"/>
      <c r="AC688" s="38"/>
      <c r="AN688" s="39"/>
    </row>
    <row r="689" ht="15.75" customHeight="1">
      <c r="A689" s="40"/>
      <c r="T689" s="36"/>
      <c r="U689" s="36"/>
      <c r="V689" s="36"/>
      <c r="W689" s="36"/>
      <c r="X689" s="36"/>
      <c r="AB689" s="37"/>
      <c r="AC689" s="38"/>
      <c r="AN689" s="39"/>
    </row>
    <row r="690" ht="15.75" customHeight="1">
      <c r="A690" s="40"/>
      <c r="T690" s="36"/>
      <c r="U690" s="36"/>
      <c r="V690" s="36"/>
      <c r="W690" s="36"/>
      <c r="X690" s="36"/>
      <c r="AB690" s="37"/>
      <c r="AC690" s="38"/>
      <c r="AN690" s="39"/>
    </row>
    <row r="691" ht="15.75" customHeight="1">
      <c r="A691" s="40"/>
      <c r="T691" s="36"/>
      <c r="U691" s="36"/>
      <c r="V691" s="36"/>
      <c r="W691" s="36"/>
      <c r="X691" s="36"/>
      <c r="AB691" s="37"/>
      <c r="AC691" s="38"/>
      <c r="AN691" s="39"/>
    </row>
    <row r="692" ht="15.75" customHeight="1">
      <c r="A692" s="40"/>
      <c r="T692" s="36"/>
      <c r="U692" s="36"/>
      <c r="V692" s="36"/>
      <c r="W692" s="36"/>
      <c r="X692" s="36"/>
      <c r="AB692" s="37"/>
      <c r="AC692" s="38"/>
      <c r="AN692" s="39"/>
    </row>
    <row r="693" ht="15.75" customHeight="1">
      <c r="A693" s="40"/>
      <c r="T693" s="36"/>
      <c r="U693" s="36"/>
      <c r="V693" s="36"/>
      <c r="W693" s="36"/>
      <c r="X693" s="36"/>
      <c r="AB693" s="37"/>
      <c r="AC693" s="38"/>
      <c r="AN693" s="39"/>
    </row>
    <row r="694" ht="15.75" customHeight="1">
      <c r="A694" s="40"/>
      <c r="T694" s="36"/>
      <c r="U694" s="36"/>
      <c r="V694" s="36"/>
      <c r="W694" s="36"/>
      <c r="X694" s="36"/>
      <c r="AB694" s="37"/>
      <c r="AC694" s="38"/>
      <c r="AN694" s="39"/>
    </row>
    <row r="695" ht="15.75" customHeight="1">
      <c r="A695" s="40"/>
      <c r="T695" s="36"/>
      <c r="U695" s="36"/>
      <c r="V695" s="36"/>
      <c r="W695" s="36"/>
      <c r="X695" s="36"/>
      <c r="AB695" s="37"/>
      <c r="AC695" s="38"/>
      <c r="AN695" s="39"/>
    </row>
    <row r="696" ht="15.75" customHeight="1">
      <c r="A696" s="40"/>
      <c r="T696" s="36"/>
      <c r="U696" s="36"/>
      <c r="V696" s="36"/>
      <c r="W696" s="36"/>
      <c r="X696" s="36"/>
      <c r="AB696" s="37"/>
      <c r="AC696" s="38"/>
      <c r="AN696" s="39"/>
    </row>
    <row r="697" ht="15.75" customHeight="1">
      <c r="A697" s="40"/>
      <c r="T697" s="36"/>
      <c r="U697" s="36"/>
      <c r="V697" s="36"/>
      <c r="W697" s="36"/>
      <c r="X697" s="36"/>
      <c r="AB697" s="37"/>
      <c r="AC697" s="38"/>
      <c r="AN697" s="39"/>
    </row>
    <row r="698" ht="15.75" customHeight="1">
      <c r="A698" s="40"/>
      <c r="T698" s="36"/>
      <c r="U698" s="36"/>
      <c r="V698" s="36"/>
      <c r="W698" s="36"/>
      <c r="X698" s="36"/>
      <c r="AB698" s="37"/>
      <c r="AC698" s="38"/>
      <c r="AN698" s="39"/>
    </row>
    <row r="699" ht="15.75" customHeight="1">
      <c r="A699" s="40"/>
      <c r="T699" s="36"/>
      <c r="U699" s="36"/>
      <c r="V699" s="36"/>
      <c r="W699" s="36"/>
      <c r="X699" s="36"/>
      <c r="AB699" s="37"/>
      <c r="AC699" s="38"/>
      <c r="AN699" s="39"/>
    </row>
    <row r="700" ht="15.75" customHeight="1">
      <c r="A700" s="40"/>
      <c r="T700" s="36"/>
      <c r="U700" s="36"/>
      <c r="V700" s="36"/>
      <c r="W700" s="36"/>
      <c r="X700" s="36"/>
      <c r="AB700" s="37"/>
      <c r="AC700" s="38"/>
      <c r="AN700" s="39"/>
    </row>
    <row r="701" ht="15.75" customHeight="1">
      <c r="A701" s="40"/>
      <c r="T701" s="36"/>
      <c r="U701" s="36"/>
      <c r="V701" s="36"/>
      <c r="W701" s="36"/>
      <c r="X701" s="36"/>
      <c r="AB701" s="37"/>
      <c r="AC701" s="38"/>
      <c r="AN701" s="39"/>
    </row>
    <row r="702" ht="15.75" customHeight="1">
      <c r="A702" s="40"/>
      <c r="T702" s="36"/>
      <c r="U702" s="36"/>
      <c r="V702" s="36"/>
      <c r="W702" s="36"/>
      <c r="X702" s="36"/>
      <c r="AB702" s="37"/>
      <c r="AC702" s="38"/>
      <c r="AN702" s="39"/>
    </row>
    <row r="703" ht="15.75" customHeight="1">
      <c r="A703" s="40"/>
      <c r="T703" s="36"/>
      <c r="U703" s="36"/>
      <c r="V703" s="36"/>
      <c r="W703" s="36"/>
      <c r="X703" s="36"/>
      <c r="AB703" s="37"/>
      <c r="AC703" s="38"/>
      <c r="AN703" s="39"/>
    </row>
    <row r="704" ht="15.75" customHeight="1">
      <c r="A704" s="40"/>
      <c r="T704" s="36"/>
      <c r="U704" s="36"/>
      <c r="V704" s="36"/>
      <c r="W704" s="36"/>
      <c r="X704" s="36"/>
      <c r="AB704" s="37"/>
      <c r="AC704" s="38"/>
      <c r="AN704" s="39"/>
    </row>
    <row r="705" ht="15.75" customHeight="1">
      <c r="A705" s="40"/>
      <c r="T705" s="36"/>
      <c r="U705" s="36"/>
      <c r="V705" s="36"/>
      <c r="W705" s="36"/>
      <c r="X705" s="36"/>
      <c r="AB705" s="37"/>
      <c r="AC705" s="38"/>
      <c r="AN705" s="39"/>
    </row>
    <row r="706" ht="15.75" customHeight="1">
      <c r="A706" s="40"/>
      <c r="T706" s="36"/>
      <c r="U706" s="36"/>
      <c r="V706" s="36"/>
      <c r="W706" s="36"/>
      <c r="X706" s="36"/>
      <c r="AB706" s="37"/>
      <c r="AC706" s="38"/>
      <c r="AN706" s="39"/>
    </row>
    <row r="707" ht="15.75" customHeight="1">
      <c r="A707" s="40"/>
      <c r="T707" s="36"/>
      <c r="U707" s="36"/>
      <c r="V707" s="36"/>
      <c r="W707" s="36"/>
      <c r="X707" s="36"/>
      <c r="AB707" s="37"/>
      <c r="AC707" s="38"/>
      <c r="AN707" s="39"/>
    </row>
    <row r="708" ht="15.75" customHeight="1">
      <c r="A708" s="40"/>
      <c r="T708" s="36"/>
      <c r="U708" s="36"/>
      <c r="V708" s="36"/>
      <c r="W708" s="36"/>
      <c r="X708" s="36"/>
      <c r="AB708" s="37"/>
      <c r="AC708" s="38"/>
      <c r="AN708" s="39"/>
    </row>
    <row r="709" ht="15.75" customHeight="1">
      <c r="A709" s="40"/>
      <c r="T709" s="36"/>
      <c r="U709" s="36"/>
      <c r="V709" s="36"/>
      <c r="W709" s="36"/>
      <c r="X709" s="36"/>
      <c r="AB709" s="37"/>
      <c r="AC709" s="38"/>
      <c r="AN709" s="39"/>
    </row>
    <row r="710" ht="15.75" customHeight="1">
      <c r="A710" s="40"/>
      <c r="T710" s="36"/>
      <c r="U710" s="36"/>
      <c r="V710" s="36"/>
      <c r="W710" s="36"/>
      <c r="X710" s="36"/>
      <c r="AB710" s="37"/>
      <c r="AC710" s="38"/>
      <c r="AN710" s="39"/>
    </row>
    <row r="711" ht="15.75" customHeight="1">
      <c r="A711" s="40"/>
      <c r="T711" s="36"/>
      <c r="U711" s="36"/>
      <c r="V711" s="36"/>
      <c r="W711" s="36"/>
      <c r="X711" s="36"/>
      <c r="AB711" s="37"/>
      <c r="AC711" s="38"/>
      <c r="AN711" s="39"/>
    </row>
    <row r="712" ht="15.75" customHeight="1">
      <c r="A712" s="40"/>
      <c r="T712" s="36"/>
      <c r="U712" s="36"/>
      <c r="V712" s="36"/>
      <c r="W712" s="36"/>
      <c r="X712" s="36"/>
      <c r="AB712" s="37"/>
      <c r="AC712" s="38"/>
      <c r="AN712" s="39"/>
    </row>
    <row r="713" ht="15.75" customHeight="1">
      <c r="A713" s="40"/>
      <c r="T713" s="36"/>
      <c r="U713" s="36"/>
      <c r="V713" s="36"/>
      <c r="W713" s="36"/>
      <c r="X713" s="36"/>
      <c r="AB713" s="37"/>
      <c r="AC713" s="38"/>
      <c r="AN713" s="39"/>
    </row>
    <row r="714" ht="15.75" customHeight="1">
      <c r="A714" s="40"/>
      <c r="T714" s="36"/>
      <c r="U714" s="36"/>
      <c r="V714" s="36"/>
      <c r="W714" s="36"/>
      <c r="X714" s="36"/>
      <c r="AB714" s="37"/>
      <c r="AC714" s="38"/>
      <c r="AN714" s="39"/>
    </row>
    <row r="715" ht="15.75" customHeight="1">
      <c r="A715" s="40"/>
      <c r="T715" s="36"/>
      <c r="U715" s="36"/>
      <c r="V715" s="36"/>
      <c r="W715" s="36"/>
      <c r="X715" s="36"/>
      <c r="AB715" s="37"/>
      <c r="AC715" s="38"/>
      <c r="AN715" s="39"/>
    </row>
    <row r="716" ht="15.75" customHeight="1">
      <c r="A716" s="40"/>
      <c r="T716" s="36"/>
      <c r="U716" s="36"/>
      <c r="V716" s="36"/>
      <c r="W716" s="36"/>
      <c r="X716" s="36"/>
      <c r="AB716" s="37"/>
      <c r="AC716" s="38"/>
      <c r="AN716" s="39"/>
    </row>
    <row r="717" ht="15.75" customHeight="1">
      <c r="A717" s="40"/>
      <c r="T717" s="36"/>
      <c r="U717" s="36"/>
      <c r="V717" s="36"/>
      <c r="W717" s="36"/>
      <c r="X717" s="36"/>
      <c r="AB717" s="37"/>
      <c r="AC717" s="38"/>
      <c r="AN717" s="39"/>
    </row>
    <row r="718" ht="15.75" customHeight="1">
      <c r="A718" s="40"/>
      <c r="T718" s="36"/>
      <c r="U718" s="36"/>
      <c r="V718" s="36"/>
      <c r="W718" s="36"/>
      <c r="X718" s="36"/>
      <c r="AB718" s="37"/>
      <c r="AC718" s="38"/>
      <c r="AN718" s="39"/>
    </row>
    <row r="719" ht="15.75" customHeight="1">
      <c r="A719" s="40"/>
      <c r="T719" s="36"/>
      <c r="U719" s="36"/>
      <c r="V719" s="36"/>
      <c r="W719" s="36"/>
      <c r="X719" s="36"/>
      <c r="AB719" s="37"/>
      <c r="AC719" s="38"/>
      <c r="AN719" s="39"/>
    </row>
    <row r="720" ht="15.75" customHeight="1">
      <c r="A720" s="40"/>
      <c r="T720" s="36"/>
      <c r="U720" s="36"/>
      <c r="V720" s="36"/>
      <c r="W720" s="36"/>
      <c r="X720" s="36"/>
      <c r="AB720" s="37"/>
      <c r="AC720" s="38"/>
      <c r="AN720" s="39"/>
    </row>
    <row r="721" ht="15.75" customHeight="1">
      <c r="A721" s="40"/>
      <c r="T721" s="36"/>
      <c r="U721" s="36"/>
      <c r="V721" s="36"/>
      <c r="W721" s="36"/>
      <c r="X721" s="36"/>
      <c r="AB721" s="37"/>
      <c r="AC721" s="38"/>
      <c r="AN721" s="39"/>
    </row>
    <row r="722" ht="15.75" customHeight="1">
      <c r="A722" s="40"/>
      <c r="T722" s="36"/>
      <c r="U722" s="36"/>
      <c r="V722" s="36"/>
      <c r="W722" s="36"/>
      <c r="X722" s="36"/>
      <c r="AB722" s="37"/>
      <c r="AC722" s="38"/>
      <c r="AN722" s="39"/>
    </row>
    <row r="723" ht="15.75" customHeight="1">
      <c r="A723" s="40"/>
      <c r="T723" s="36"/>
      <c r="U723" s="36"/>
      <c r="V723" s="36"/>
      <c r="W723" s="36"/>
      <c r="X723" s="36"/>
      <c r="AB723" s="37"/>
      <c r="AC723" s="38"/>
      <c r="AN723" s="39"/>
    </row>
    <row r="724" ht="15.75" customHeight="1">
      <c r="A724" s="40"/>
      <c r="T724" s="36"/>
      <c r="U724" s="36"/>
      <c r="V724" s="36"/>
      <c r="W724" s="36"/>
      <c r="X724" s="36"/>
      <c r="AB724" s="37"/>
      <c r="AC724" s="38"/>
      <c r="AN724" s="39"/>
    </row>
    <row r="725" ht="15.75" customHeight="1">
      <c r="A725" s="40"/>
      <c r="T725" s="36"/>
      <c r="U725" s="36"/>
      <c r="V725" s="36"/>
      <c r="W725" s="36"/>
      <c r="X725" s="36"/>
      <c r="AB725" s="37"/>
      <c r="AC725" s="38"/>
      <c r="AN725" s="39"/>
    </row>
    <row r="726" ht="15.75" customHeight="1">
      <c r="A726" s="40"/>
      <c r="T726" s="36"/>
      <c r="U726" s="36"/>
      <c r="V726" s="36"/>
      <c r="W726" s="36"/>
      <c r="X726" s="36"/>
      <c r="AB726" s="37"/>
      <c r="AC726" s="38"/>
      <c r="AN726" s="39"/>
    </row>
    <row r="727" ht="15.75" customHeight="1">
      <c r="A727" s="40"/>
      <c r="T727" s="36"/>
      <c r="U727" s="36"/>
      <c r="V727" s="36"/>
      <c r="W727" s="36"/>
      <c r="X727" s="36"/>
      <c r="AB727" s="37"/>
      <c r="AC727" s="38"/>
      <c r="AN727" s="39"/>
    </row>
    <row r="728" ht="15.75" customHeight="1">
      <c r="A728" s="40"/>
      <c r="T728" s="36"/>
      <c r="U728" s="36"/>
      <c r="V728" s="36"/>
      <c r="W728" s="36"/>
      <c r="X728" s="36"/>
      <c r="AB728" s="37"/>
      <c r="AC728" s="38"/>
      <c r="AN728" s="39"/>
    </row>
    <row r="729" ht="15.75" customHeight="1">
      <c r="A729" s="40"/>
      <c r="T729" s="36"/>
      <c r="U729" s="36"/>
      <c r="V729" s="36"/>
      <c r="W729" s="36"/>
      <c r="X729" s="36"/>
      <c r="AB729" s="37"/>
      <c r="AC729" s="38"/>
      <c r="AN729" s="39"/>
    </row>
    <row r="730" ht="15.75" customHeight="1">
      <c r="A730" s="40"/>
      <c r="T730" s="36"/>
      <c r="U730" s="36"/>
      <c r="V730" s="36"/>
      <c r="W730" s="36"/>
      <c r="X730" s="36"/>
      <c r="AB730" s="37"/>
      <c r="AC730" s="38"/>
      <c r="AN730" s="39"/>
    </row>
    <row r="731" ht="15.75" customHeight="1">
      <c r="A731" s="40"/>
      <c r="T731" s="36"/>
      <c r="U731" s="36"/>
      <c r="V731" s="36"/>
      <c r="W731" s="36"/>
      <c r="X731" s="36"/>
      <c r="AB731" s="37"/>
      <c r="AC731" s="38"/>
      <c r="AN731" s="39"/>
    </row>
    <row r="732" ht="15.75" customHeight="1">
      <c r="A732" s="40"/>
      <c r="T732" s="36"/>
      <c r="U732" s="36"/>
      <c r="V732" s="36"/>
      <c r="W732" s="36"/>
      <c r="X732" s="36"/>
      <c r="AB732" s="37"/>
      <c r="AC732" s="38"/>
      <c r="AN732" s="39"/>
    </row>
    <row r="733" ht="15.75" customHeight="1">
      <c r="A733" s="40"/>
      <c r="T733" s="36"/>
      <c r="U733" s="36"/>
      <c r="V733" s="36"/>
      <c r="W733" s="36"/>
      <c r="X733" s="36"/>
      <c r="AB733" s="37"/>
      <c r="AC733" s="38"/>
      <c r="AN733" s="39"/>
    </row>
    <row r="734" ht="15.75" customHeight="1">
      <c r="A734" s="40"/>
      <c r="T734" s="36"/>
      <c r="U734" s="36"/>
      <c r="V734" s="36"/>
      <c r="W734" s="36"/>
      <c r="X734" s="36"/>
      <c r="AB734" s="37"/>
      <c r="AC734" s="38"/>
      <c r="AN734" s="39"/>
    </row>
    <row r="735" ht="15.75" customHeight="1">
      <c r="A735" s="40"/>
      <c r="T735" s="36"/>
      <c r="U735" s="36"/>
      <c r="V735" s="36"/>
      <c r="W735" s="36"/>
      <c r="X735" s="36"/>
      <c r="AB735" s="37"/>
      <c r="AC735" s="38"/>
      <c r="AN735" s="39"/>
    </row>
    <row r="736" ht="15.75" customHeight="1">
      <c r="A736" s="40"/>
      <c r="T736" s="36"/>
      <c r="U736" s="36"/>
      <c r="V736" s="36"/>
      <c r="W736" s="36"/>
      <c r="X736" s="36"/>
      <c r="AB736" s="37"/>
      <c r="AC736" s="38"/>
      <c r="AN736" s="39"/>
    </row>
    <row r="737" ht="15.75" customHeight="1">
      <c r="A737" s="40"/>
      <c r="T737" s="36"/>
      <c r="U737" s="36"/>
      <c r="V737" s="36"/>
      <c r="W737" s="36"/>
      <c r="X737" s="36"/>
      <c r="AB737" s="37"/>
      <c r="AC737" s="38"/>
      <c r="AN737" s="39"/>
    </row>
    <row r="738" ht="15.75" customHeight="1">
      <c r="A738" s="40"/>
      <c r="T738" s="36"/>
      <c r="U738" s="36"/>
      <c r="V738" s="36"/>
      <c r="W738" s="36"/>
      <c r="X738" s="36"/>
      <c r="AB738" s="37"/>
      <c r="AC738" s="38"/>
      <c r="AN738" s="39"/>
    </row>
    <row r="739" ht="15.75" customHeight="1">
      <c r="A739" s="40"/>
      <c r="T739" s="36"/>
      <c r="U739" s="36"/>
      <c r="V739" s="36"/>
      <c r="W739" s="36"/>
      <c r="X739" s="36"/>
      <c r="AB739" s="37"/>
      <c r="AC739" s="38"/>
      <c r="AN739" s="39"/>
    </row>
    <row r="740" ht="15.75" customHeight="1">
      <c r="A740" s="40"/>
      <c r="T740" s="36"/>
      <c r="U740" s="36"/>
      <c r="V740" s="36"/>
      <c r="W740" s="36"/>
      <c r="X740" s="36"/>
      <c r="AB740" s="37"/>
      <c r="AC740" s="38"/>
      <c r="AN740" s="39"/>
    </row>
    <row r="741" ht="15.75" customHeight="1">
      <c r="A741" s="40"/>
      <c r="T741" s="36"/>
      <c r="U741" s="36"/>
      <c r="V741" s="36"/>
      <c r="W741" s="36"/>
      <c r="X741" s="36"/>
      <c r="AB741" s="37"/>
      <c r="AC741" s="38"/>
      <c r="AN741" s="39"/>
    </row>
    <row r="742" ht="15.75" customHeight="1">
      <c r="A742" s="40"/>
      <c r="T742" s="36"/>
      <c r="U742" s="36"/>
      <c r="V742" s="36"/>
      <c r="W742" s="36"/>
      <c r="X742" s="36"/>
      <c r="AB742" s="37"/>
      <c r="AC742" s="38"/>
      <c r="AN742" s="39"/>
    </row>
    <row r="743" ht="15.75" customHeight="1">
      <c r="A743" s="40"/>
      <c r="T743" s="36"/>
      <c r="U743" s="36"/>
      <c r="V743" s="36"/>
      <c r="W743" s="36"/>
      <c r="X743" s="36"/>
      <c r="AB743" s="37"/>
      <c r="AC743" s="38"/>
      <c r="AN743" s="39"/>
    </row>
    <row r="744" ht="15.75" customHeight="1">
      <c r="A744" s="40"/>
      <c r="T744" s="36"/>
      <c r="U744" s="36"/>
      <c r="V744" s="36"/>
      <c r="W744" s="36"/>
      <c r="X744" s="36"/>
      <c r="AB744" s="37"/>
      <c r="AC744" s="38"/>
      <c r="AN744" s="39"/>
    </row>
    <row r="745" ht="15.75" customHeight="1">
      <c r="A745" s="40"/>
      <c r="T745" s="36"/>
      <c r="U745" s="36"/>
      <c r="V745" s="36"/>
      <c r="W745" s="36"/>
      <c r="X745" s="36"/>
      <c r="AB745" s="37"/>
      <c r="AC745" s="38"/>
      <c r="AN745" s="39"/>
    </row>
    <row r="746" ht="15.75" customHeight="1">
      <c r="A746" s="40"/>
      <c r="T746" s="36"/>
      <c r="U746" s="36"/>
      <c r="V746" s="36"/>
      <c r="W746" s="36"/>
      <c r="X746" s="36"/>
      <c r="AB746" s="37"/>
      <c r="AC746" s="38"/>
      <c r="AN746" s="39"/>
    </row>
    <row r="747" ht="15.75" customHeight="1">
      <c r="A747" s="40"/>
      <c r="T747" s="36"/>
      <c r="U747" s="36"/>
      <c r="V747" s="36"/>
      <c r="W747" s="36"/>
      <c r="X747" s="36"/>
      <c r="AB747" s="37"/>
      <c r="AC747" s="38"/>
      <c r="AN747" s="39"/>
    </row>
    <row r="748" ht="15.75" customHeight="1">
      <c r="A748" s="40"/>
      <c r="T748" s="36"/>
      <c r="U748" s="36"/>
      <c r="V748" s="36"/>
      <c r="W748" s="36"/>
      <c r="X748" s="36"/>
      <c r="AB748" s="37"/>
      <c r="AC748" s="38"/>
      <c r="AN748" s="39"/>
    </row>
    <row r="749" ht="15.75" customHeight="1">
      <c r="A749" s="40"/>
      <c r="T749" s="36"/>
      <c r="U749" s="36"/>
      <c r="V749" s="36"/>
      <c r="W749" s="36"/>
      <c r="X749" s="36"/>
      <c r="AB749" s="37"/>
      <c r="AC749" s="38"/>
      <c r="AN749" s="39"/>
    </row>
    <row r="750" ht="15.75" customHeight="1">
      <c r="A750" s="40"/>
      <c r="T750" s="36"/>
      <c r="U750" s="36"/>
      <c r="V750" s="36"/>
      <c r="W750" s="36"/>
      <c r="X750" s="36"/>
      <c r="AB750" s="37"/>
      <c r="AC750" s="38"/>
      <c r="AN750" s="39"/>
    </row>
    <row r="751" ht="15.75" customHeight="1">
      <c r="A751" s="40"/>
      <c r="T751" s="36"/>
      <c r="U751" s="36"/>
      <c r="V751" s="36"/>
      <c r="W751" s="36"/>
      <c r="X751" s="36"/>
      <c r="AB751" s="37"/>
      <c r="AC751" s="38"/>
      <c r="AN751" s="39"/>
    </row>
    <row r="752" ht="15.75" customHeight="1">
      <c r="A752" s="40"/>
      <c r="T752" s="36"/>
      <c r="U752" s="36"/>
      <c r="V752" s="36"/>
      <c r="W752" s="36"/>
      <c r="X752" s="36"/>
      <c r="AB752" s="37"/>
      <c r="AC752" s="38"/>
      <c r="AN752" s="39"/>
    </row>
    <row r="753" ht="15.75" customHeight="1">
      <c r="A753" s="40"/>
      <c r="T753" s="36"/>
      <c r="U753" s="36"/>
      <c r="V753" s="36"/>
      <c r="W753" s="36"/>
      <c r="X753" s="36"/>
      <c r="AB753" s="37"/>
      <c r="AC753" s="38"/>
      <c r="AN753" s="39"/>
    </row>
    <row r="754" ht="15.75" customHeight="1">
      <c r="A754" s="40"/>
      <c r="T754" s="36"/>
      <c r="U754" s="36"/>
      <c r="V754" s="36"/>
      <c r="W754" s="36"/>
      <c r="X754" s="36"/>
      <c r="AB754" s="37"/>
      <c r="AC754" s="38"/>
      <c r="AN754" s="39"/>
    </row>
    <row r="755" ht="15.75" customHeight="1">
      <c r="A755" s="40"/>
      <c r="T755" s="36"/>
      <c r="U755" s="36"/>
      <c r="V755" s="36"/>
      <c r="W755" s="36"/>
      <c r="X755" s="36"/>
      <c r="AB755" s="37"/>
      <c r="AC755" s="38"/>
      <c r="AN755" s="39"/>
    </row>
    <row r="756" ht="15.75" customHeight="1">
      <c r="A756" s="40"/>
      <c r="T756" s="36"/>
      <c r="U756" s="36"/>
      <c r="V756" s="36"/>
      <c r="W756" s="36"/>
      <c r="X756" s="36"/>
      <c r="AB756" s="37"/>
      <c r="AC756" s="38"/>
      <c r="AN756" s="39"/>
    </row>
    <row r="757" ht="15.75" customHeight="1">
      <c r="A757" s="40"/>
      <c r="T757" s="36"/>
      <c r="U757" s="36"/>
      <c r="V757" s="36"/>
      <c r="W757" s="36"/>
      <c r="X757" s="36"/>
      <c r="AB757" s="37"/>
      <c r="AC757" s="38"/>
      <c r="AN757" s="39"/>
    </row>
    <row r="758" ht="15.75" customHeight="1">
      <c r="A758" s="40"/>
      <c r="T758" s="36"/>
      <c r="U758" s="36"/>
      <c r="V758" s="36"/>
      <c r="W758" s="36"/>
      <c r="X758" s="36"/>
      <c r="AB758" s="37"/>
      <c r="AC758" s="38"/>
      <c r="AN758" s="39"/>
    </row>
    <row r="759" ht="15.75" customHeight="1">
      <c r="A759" s="40"/>
      <c r="T759" s="36"/>
      <c r="U759" s="36"/>
      <c r="V759" s="36"/>
      <c r="W759" s="36"/>
      <c r="X759" s="36"/>
      <c r="AB759" s="37"/>
      <c r="AC759" s="38"/>
      <c r="AN759" s="39"/>
    </row>
    <row r="760" ht="15.75" customHeight="1">
      <c r="A760" s="40"/>
      <c r="T760" s="36"/>
      <c r="U760" s="36"/>
      <c r="V760" s="36"/>
      <c r="W760" s="36"/>
      <c r="X760" s="36"/>
      <c r="AB760" s="37"/>
      <c r="AC760" s="38"/>
      <c r="AN760" s="39"/>
    </row>
    <row r="761" ht="15.75" customHeight="1">
      <c r="A761" s="40"/>
      <c r="T761" s="36"/>
      <c r="U761" s="36"/>
      <c r="V761" s="36"/>
      <c r="W761" s="36"/>
      <c r="X761" s="36"/>
      <c r="AB761" s="37"/>
      <c r="AC761" s="38"/>
      <c r="AN761" s="39"/>
    </row>
    <row r="762" ht="15.75" customHeight="1">
      <c r="A762" s="40"/>
      <c r="T762" s="36"/>
      <c r="U762" s="36"/>
      <c r="V762" s="36"/>
      <c r="W762" s="36"/>
      <c r="X762" s="36"/>
      <c r="AB762" s="37"/>
      <c r="AC762" s="38"/>
      <c r="AN762" s="39"/>
    </row>
    <row r="763" ht="15.75" customHeight="1">
      <c r="A763" s="40"/>
      <c r="T763" s="36"/>
      <c r="U763" s="36"/>
      <c r="V763" s="36"/>
      <c r="W763" s="36"/>
      <c r="X763" s="36"/>
      <c r="AB763" s="37"/>
      <c r="AC763" s="38"/>
      <c r="AN763" s="39"/>
    </row>
    <row r="764" ht="15.75" customHeight="1">
      <c r="A764" s="40"/>
      <c r="T764" s="36"/>
      <c r="U764" s="36"/>
      <c r="V764" s="36"/>
      <c r="W764" s="36"/>
      <c r="X764" s="36"/>
      <c r="AB764" s="37"/>
      <c r="AC764" s="38"/>
      <c r="AN764" s="39"/>
    </row>
    <row r="765" ht="15.75" customHeight="1">
      <c r="A765" s="40"/>
      <c r="T765" s="36"/>
      <c r="U765" s="36"/>
      <c r="V765" s="36"/>
      <c r="W765" s="36"/>
      <c r="X765" s="36"/>
      <c r="AB765" s="37"/>
      <c r="AC765" s="38"/>
      <c r="AN765" s="39"/>
    </row>
    <row r="766" ht="15.75" customHeight="1">
      <c r="A766" s="40"/>
      <c r="T766" s="36"/>
      <c r="U766" s="36"/>
      <c r="V766" s="36"/>
      <c r="W766" s="36"/>
      <c r="X766" s="36"/>
      <c r="AB766" s="37"/>
      <c r="AC766" s="38"/>
      <c r="AN766" s="39"/>
    </row>
    <row r="767" ht="15.75" customHeight="1">
      <c r="A767" s="40"/>
      <c r="T767" s="36"/>
      <c r="U767" s="36"/>
      <c r="V767" s="36"/>
      <c r="W767" s="36"/>
      <c r="X767" s="36"/>
      <c r="AB767" s="37"/>
      <c r="AC767" s="38"/>
      <c r="AN767" s="39"/>
    </row>
    <row r="768" ht="15.75" customHeight="1">
      <c r="A768" s="40"/>
      <c r="T768" s="36"/>
      <c r="U768" s="36"/>
      <c r="V768" s="36"/>
      <c r="W768" s="36"/>
      <c r="X768" s="36"/>
      <c r="AB768" s="37"/>
      <c r="AC768" s="38"/>
      <c r="AN768" s="39"/>
    </row>
    <row r="769" ht="15.75" customHeight="1">
      <c r="A769" s="40"/>
      <c r="T769" s="36"/>
      <c r="U769" s="36"/>
      <c r="V769" s="36"/>
      <c r="W769" s="36"/>
      <c r="X769" s="36"/>
      <c r="AB769" s="37"/>
      <c r="AC769" s="38"/>
      <c r="AN769" s="39"/>
    </row>
    <row r="770" ht="15.75" customHeight="1">
      <c r="A770" s="40"/>
      <c r="T770" s="36"/>
      <c r="U770" s="36"/>
      <c r="V770" s="36"/>
      <c r="W770" s="36"/>
      <c r="X770" s="36"/>
      <c r="AB770" s="37"/>
      <c r="AC770" s="38"/>
      <c r="AN770" s="39"/>
    </row>
    <row r="771" ht="15.75" customHeight="1">
      <c r="A771" s="40"/>
      <c r="T771" s="36"/>
      <c r="U771" s="36"/>
      <c r="V771" s="36"/>
      <c r="W771" s="36"/>
      <c r="X771" s="36"/>
      <c r="AB771" s="37"/>
      <c r="AC771" s="38"/>
      <c r="AN771" s="39"/>
    </row>
    <row r="772" ht="15.75" customHeight="1">
      <c r="A772" s="40"/>
      <c r="T772" s="36"/>
      <c r="U772" s="36"/>
      <c r="V772" s="36"/>
      <c r="W772" s="36"/>
      <c r="X772" s="36"/>
      <c r="AB772" s="37"/>
      <c r="AC772" s="38"/>
      <c r="AN772" s="39"/>
    </row>
    <row r="773" ht="15.75" customHeight="1">
      <c r="A773" s="40"/>
      <c r="T773" s="36"/>
      <c r="U773" s="36"/>
      <c r="V773" s="36"/>
      <c r="W773" s="36"/>
      <c r="X773" s="36"/>
      <c r="AB773" s="37"/>
      <c r="AC773" s="38"/>
      <c r="AN773" s="39"/>
    </row>
    <row r="774" ht="15.75" customHeight="1">
      <c r="A774" s="40"/>
      <c r="T774" s="36"/>
      <c r="U774" s="36"/>
      <c r="V774" s="36"/>
      <c r="W774" s="36"/>
      <c r="X774" s="36"/>
      <c r="AB774" s="37"/>
      <c r="AC774" s="38"/>
      <c r="AN774" s="39"/>
    </row>
    <row r="775" ht="15.75" customHeight="1">
      <c r="A775" s="40"/>
      <c r="T775" s="36"/>
      <c r="U775" s="36"/>
      <c r="V775" s="36"/>
      <c r="W775" s="36"/>
      <c r="X775" s="36"/>
      <c r="AB775" s="37"/>
      <c r="AC775" s="38"/>
      <c r="AN775" s="39"/>
    </row>
    <row r="776" ht="15.75" customHeight="1">
      <c r="A776" s="40"/>
      <c r="T776" s="36"/>
      <c r="U776" s="36"/>
      <c r="V776" s="36"/>
      <c r="W776" s="36"/>
      <c r="X776" s="36"/>
      <c r="AB776" s="37"/>
      <c r="AC776" s="38"/>
      <c r="AN776" s="39"/>
    </row>
    <row r="777" ht="15.75" customHeight="1">
      <c r="A777" s="40"/>
      <c r="T777" s="36"/>
      <c r="U777" s="36"/>
      <c r="V777" s="36"/>
      <c r="W777" s="36"/>
      <c r="X777" s="36"/>
      <c r="AB777" s="37"/>
      <c r="AC777" s="38"/>
      <c r="AN777" s="39"/>
    </row>
    <row r="778" ht="15.75" customHeight="1">
      <c r="A778" s="40"/>
      <c r="T778" s="36"/>
      <c r="U778" s="36"/>
      <c r="V778" s="36"/>
      <c r="W778" s="36"/>
      <c r="X778" s="36"/>
      <c r="AB778" s="37"/>
      <c r="AC778" s="38"/>
      <c r="AN778" s="39"/>
    </row>
    <row r="779" ht="15.75" customHeight="1">
      <c r="A779" s="40"/>
      <c r="T779" s="36"/>
      <c r="U779" s="36"/>
      <c r="V779" s="36"/>
      <c r="W779" s="36"/>
      <c r="X779" s="36"/>
      <c r="AB779" s="37"/>
      <c r="AC779" s="38"/>
      <c r="AN779" s="39"/>
    </row>
    <row r="780" ht="15.75" customHeight="1">
      <c r="A780" s="40"/>
      <c r="T780" s="36"/>
      <c r="U780" s="36"/>
      <c r="V780" s="36"/>
      <c r="W780" s="36"/>
      <c r="X780" s="36"/>
      <c r="AB780" s="37"/>
      <c r="AC780" s="38"/>
      <c r="AN780" s="39"/>
    </row>
    <row r="781" ht="15.75" customHeight="1">
      <c r="A781" s="40"/>
      <c r="T781" s="36"/>
      <c r="U781" s="36"/>
      <c r="V781" s="36"/>
      <c r="W781" s="36"/>
      <c r="X781" s="36"/>
      <c r="AB781" s="37"/>
      <c r="AC781" s="38"/>
      <c r="AN781" s="39"/>
    </row>
    <row r="782" ht="15.75" customHeight="1">
      <c r="A782" s="40"/>
      <c r="T782" s="36"/>
      <c r="U782" s="36"/>
      <c r="V782" s="36"/>
      <c r="W782" s="36"/>
      <c r="X782" s="36"/>
      <c r="AB782" s="37"/>
      <c r="AC782" s="38"/>
      <c r="AN782" s="39"/>
    </row>
    <row r="783" ht="15.75" customHeight="1">
      <c r="A783" s="40"/>
      <c r="T783" s="36"/>
      <c r="U783" s="36"/>
      <c r="V783" s="36"/>
      <c r="W783" s="36"/>
      <c r="X783" s="36"/>
      <c r="AB783" s="37"/>
      <c r="AC783" s="38"/>
      <c r="AN783" s="39"/>
    </row>
    <row r="784" ht="15.75" customHeight="1">
      <c r="A784" s="40"/>
      <c r="T784" s="36"/>
      <c r="U784" s="36"/>
      <c r="V784" s="36"/>
      <c r="W784" s="36"/>
      <c r="X784" s="36"/>
      <c r="AB784" s="37"/>
      <c r="AC784" s="38"/>
      <c r="AN784" s="39"/>
    </row>
    <row r="785" ht="15.75" customHeight="1">
      <c r="A785" s="40"/>
      <c r="T785" s="36"/>
      <c r="U785" s="36"/>
      <c r="V785" s="36"/>
      <c r="W785" s="36"/>
      <c r="X785" s="36"/>
      <c r="AB785" s="37"/>
      <c r="AC785" s="38"/>
      <c r="AN785" s="39"/>
    </row>
    <row r="786" ht="15.75" customHeight="1">
      <c r="A786" s="40"/>
      <c r="T786" s="36"/>
      <c r="U786" s="36"/>
      <c r="V786" s="36"/>
      <c r="W786" s="36"/>
      <c r="X786" s="36"/>
      <c r="AB786" s="37"/>
      <c r="AC786" s="38"/>
      <c r="AN786" s="39"/>
    </row>
    <row r="787" ht="15.75" customHeight="1">
      <c r="A787" s="40"/>
      <c r="T787" s="36"/>
      <c r="U787" s="36"/>
      <c r="V787" s="36"/>
      <c r="W787" s="36"/>
      <c r="X787" s="36"/>
      <c r="AB787" s="37"/>
      <c r="AC787" s="38"/>
      <c r="AN787" s="39"/>
    </row>
    <row r="788" ht="15.75" customHeight="1">
      <c r="A788" s="40"/>
      <c r="T788" s="36"/>
      <c r="U788" s="36"/>
      <c r="V788" s="36"/>
      <c r="W788" s="36"/>
      <c r="X788" s="36"/>
      <c r="AB788" s="37"/>
      <c r="AC788" s="38"/>
      <c r="AN788" s="39"/>
    </row>
    <row r="789" ht="15.75" customHeight="1">
      <c r="A789" s="40"/>
      <c r="T789" s="36"/>
      <c r="U789" s="36"/>
      <c r="V789" s="36"/>
      <c r="W789" s="36"/>
      <c r="X789" s="36"/>
      <c r="AB789" s="37"/>
      <c r="AC789" s="38"/>
      <c r="AN789" s="39"/>
    </row>
    <row r="790" ht="15.75" customHeight="1">
      <c r="A790" s="40"/>
      <c r="T790" s="36"/>
      <c r="U790" s="36"/>
      <c r="V790" s="36"/>
      <c r="W790" s="36"/>
      <c r="X790" s="36"/>
      <c r="AB790" s="37"/>
      <c r="AC790" s="38"/>
      <c r="AN790" s="39"/>
    </row>
    <row r="791" ht="15.75" customHeight="1">
      <c r="A791" s="40"/>
      <c r="T791" s="36"/>
      <c r="U791" s="36"/>
      <c r="V791" s="36"/>
      <c r="W791" s="36"/>
      <c r="X791" s="36"/>
      <c r="AB791" s="37"/>
      <c r="AC791" s="38"/>
      <c r="AN791" s="39"/>
    </row>
    <row r="792" ht="15.75" customHeight="1">
      <c r="A792" s="40"/>
      <c r="T792" s="36"/>
      <c r="U792" s="36"/>
      <c r="V792" s="36"/>
      <c r="W792" s="36"/>
      <c r="X792" s="36"/>
      <c r="AB792" s="37"/>
      <c r="AC792" s="38"/>
      <c r="AN792" s="39"/>
    </row>
    <row r="793" ht="15.75" customHeight="1">
      <c r="A793" s="40"/>
      <c r="T793" s="36"/>
      <c r="U793" s="36"/>
      <c r="V793" s="36"/>
      <c r="W793" s="36"/>
      <c r="X793" s="36"/>
      <c r="AB793" s="37"/>
      <c r="AC793" s="38"/>
      <c r="AN793" s="39"/>
    </row>
    <row r="794" ht="15.75" customHeight="1">
      <c r="A794" s="40"/>
      <c r="T794" s="36"/>
      <c r="U794" s="36"/>
      <c r="V794" s="36"/>
      <c r="W794" s="36"/>
      <c r="X794" s="36"/>
      <c r="AB794" s="37"/>
      <c r="AC794" s="38"/>
      <c r="AN794" s="39"/>
    </row>
    <row r="795" ht="15.75" customHeight="1">
      <c r="A795" s="40"/>
      <c r="T795" s="36"/>
      <c r="U795" s="36"/>
      <c r="V795" s="36"/>
      <c r="W795" s="36"/>
      <c r="X795" s="36"/>
      <c r="AB795" s="37"/>
      <c r="AC795" s="38"/>
      <c r="AN795" s="39"/>
    </row>
    <row r="796" ht="15.75" customHeight="1">
      <c r="A796" s="40"/>
      <c r="T796" s="36"/>
      <c r="U796" s="36"/>
      <c r="V796" s="36"/>
      <c r="W796" s="36"/>
      <c r="X796" s="36"/>
      <c r="AB796" s="37"/>
      <c r="AC796" s="38"/>
      <c r="AN796" s="39"/>
    </row>
    <row r="797" ht="15.75" customHeight="1">
      <c r="A797" s="40"/>
      <c r="T797" s="36"/>
      <c r="U797" s="36"/>
      <c r="V797" s="36"/>
      <c r="W797" s="36"/>
      <c r="X797" s="36"/>
      <c r="AB797" s="37"/>
      <c r="AC797" s="38"/>
      <c r="AN797" s="39"/>
    </row>
    <row r="798" ht="15.75" customHeight="1">
      <c r="A798" s="40"/>
      <c r="T798" s="36"/>
      <c r="U798" s="36"/>
      <c r="V798" s="36"/>
      <c r="W798" s="36"/>
      <c r="X798" s="36"/>
      <c r="AB798" s="37"/>
      <c r="AC798" s="38"/>
      <c r="AN798" s="39"/>
    </row>
    <row r="799" ht="15.75" customHeight="1">
      <c r="A799" s="40"/>
      <c r="T799" s="36"/>
      <c r="U799" s="36"/>
      <c r="V799" s="36"/>
      <c r="W799" s="36"/>
      <c r="X799" s="36"/>
      <c r="AB799" s="37"/>
      <c r="AC799" s="38"/>
      <c r="AN799" s="39"/>
    </row>
    <row r="800" ht="15.75" customHeight="1">
      <c r="A800" s="40"/>
      <c r="T800" s="36"/>
      <c r="U800" s="36"/>
      <c r="V800" s="36"/>
      <c r="W800" s="36"/>
      <c r="X800" s="36"/>
      <c r="AB800" s="37"/>
      <c r="AC800" s="38"/>
      <c r="AN800" s="39"/>
    </row>
    <row r="801" ht="15.75" customHeight="1">
      <c r="A801" s="40"/>
      <c r="T801" s="36"/>
      <c r="U801" s="36"/>
      <c r="V801" s="36"/>
      <c r="W801" s="36"/>
      <c r="X801" s="36"/>
      <c r="AB801" s="37"/>
      <c r="AC801" s="38"/>
      <c r="AN801" s="39"/>
    </row>
    <row r="802" ht="15.75" customHeight="1">
      <c r="A802" s="40"/>
      <c r="T802" s="36"/>
      <c r="U802" s="36"/>
      <c r="V802" s="36"/>
      <c r="W802" s="36"/>
      <c r="X802" s="36"/>
      <c r="AB802" s="37"/>
      <c r="AC802" s="38"/>
      <c r="AN802" s="39"/>
    </row>
    <row r="803" ht="15.75" customHeight="1">
      <c r="A803" s="40"/>
      <c r="T803" s="36"/>
      <c r="U803" s="36"/>
      <c r="V803" s="36"/>
      <c r="W803" s="36"/>
      <c r="X803" s="36"/>
      <c r="AB803" s="37"/>
      <c r="AC803" s="38"/>
      <c r="AN803" s="39"/>
    </row>
    <row r="804" ht="15.75" customHeight="1">
      <c r="A804" s="40"/>
      <c r="T804" s="36"/>
      <c r="U804" s="36"/>
      <c r="V804" s="36"/>
      <c r="W804" s="36"/>
      <c r="X804" s="36"/>
      <c r="AB804" s="37"/>
      <c r="AC804" s="38"/>
      <c r="AN804" s="39"/>
    </row>
    <row r="805" ht="15.75" customHeight="1">
      <c r="A805" s="40"/>
      <c r="T805" s="36"/>
      <c r="U805" s="36"/>
      <c r="V805" s="36"/>
      <c r="W805" s="36"/>
      <c r="X805" s="36"/>
      <c r="AB805" s="37"/>
      <c r="AC805" s="38"/>
      <c r="AN805" s="39"/>
    </row>
    <row r="806" ht="15.75" customHeight="1">
      <c r="A806" s="40"/>
      <c r="T806" s="36"/>
      <c r="U806" s="36"/>
      <c r="V806" s="36"/>
      <c r="W806" s="36"/>
      <c r="X806" s="36"/>
      <c r="AB806" s="37"/>
      <c r="AC806" s="38"/>
      <c r="AN806" s="39"/>
    </row>
    <row r="807" ht="15.75" customHeight="1">
      <c r="A807" s="40"/>
      <c r="T807" s="36"/>
      <c r="U807" s="36"/>
      <c r="V807" s="36"/>
      <c r="W807" s="36"/>
      <c r="X807" s="36"/>
      <c r="AB807" s="37"/>
      <c r="AC807" s="38"/>
      <c r="AN807" s="39"/>
    </row>
    <row r="808" ht="15.75" customHeight="1">
      <c r="A808" s="40"/>
      <c r="T808" s="36"/>
      <c r="U808" s="36"/>
      <c r="V808" s="36"/>
      <c r="W808" s="36"/>
      <c r="X808" s="36"/>
      <c r="AB808" s="37"/>
      <c r="AC808" s="38"/>
      <c r="AN808" s="39"/>
    </row>
    <row r="809" ht="15.75" customHeight="1">
      <c r="A809" s="40"/>
      <c r="T809" s="36"/>
      <c r="U809" s="36"/>
      <c r="V809" s="36"/>
      <c r="W809" s="36"/>
      <c r="X809" s="36"/>
      <c r="AB809" s="37"/>
      <c r="AC809" s="38"/>
      <c r="AN809" s="39"/>
    </row>
    <row r="810" ht="15.75" customHeight="1">
      <c r="A810" s="40"/>
      <c r="T810" s="36"/>
      <c r="U810" s="36"/>
      <c r="V810" s="36"/>
      <c r="W810" s="36"/>
      <c r="X810" s="36"/>
      <c r="AB810" s="37"/>
      <c r="AC810" s="38"/>
      <c r="AN810" s="39"/>
    </row>
    <row r="811" ht="15.75" customHeight="1">
      <c r="A811" s="40"/>
      <c r="T811" s="36"/>
      <c r="U811" s="36"/>
      <c r="V811" s="36"/>
      <c r="W811" s="36"/>
      <c r="X811" s="36"/>
      <c r="AB811" s="37"/>
      <c r="AC811" s="38"/>
      <c r="AN811" s="39"/>
    </row>
    <row r="812" ht="15.75" customHeight="1">
      <c r="A812" s="40"/>
      <c r="T812" s="36"/>
      <c r="U812" s="36"/>
      <c r="V812" s="36"/>
      <c r="W812" s="36"/>
      <c r="X812" s="36"/>
      <c r="AB812" s="37"/>
      <c r="AC812" s="38"/>
      <c r="AN812" s="39"/>
    </row>
    <row r="813" ht="15.75" customHeight="1">
      <c r="A813" s="40"/>
      <c r="T813" s="36"/>
      <c r="U813" s="36"/>
      <c r="V813" s="36"/>
      <c r="W813" s="36"/>
      <c r="X813" s="36"/>
      <c r="AB813" s="37"/>
      <c r="AC813" s="38"/>
      <c r="AN813" s="39"/>
    </row>
    <row r="814" ht="15.75" customHeight="1">
      <c r="A814" s="40"/>
      <c r="T814" s="36"/>
      <c r="U814" s="36"/>
      <c r="V814" s="36"/>
      <c r="W814" s="36"/>
      <c r="X814" s="36"/>
      <c r="AB814" s="37"/>
      <c r="AC814" s="38"/>
      <c r="AN814" s="39"/>
    </row>
    <row r="815" ht="15.75" customHeight="1">
      <c r="A815" s="40"/>
      <c r="T815" s="36"/>
      <c r="U815" s="36"/>
      <c r="V815" s="36"/>
      <c r="W815" s="36"/>
      <c r="X815" s="36"/>
      <c r="AB815" s="37"/>
      <c r="AC815" s="38"/>
      <c r="AN815" s="39"/>
    </row>
    <row r="816" ht="15.75" customHeight="1">
      <c r="A816" s="40"/>
      <c r="T816" s="36"/>
      <c r="U816" s="36"/>
      <c r="V816" s="36"/>
      <c r="W816" s="36"/>
      <c r="X816" s="36"/>
      <c r="AB816" s="37"/>
      <c r="AC816" s="38"/>
      <c r="AN816" s="39"/>
    </row>
    <row r="817" ht="15.75" customHeight="1">
      <c r="A817" s="40"/>
      <c r="T817" s="36"/>
      <c r="U817" s="36"/>
      <c r="V817" s="36"/>
      <c r="W817" s="36"/>
      <c r="X817" s="36"/>
      <c r="AB817" s="37"/>
      <c r="AC817" s="38"/>
      <c r="AN817" s="39"/>
    </row>
    <row r="818" ht="15.75" customHeight="1">
      <c r="A818" s="40"/>
      <c r="T818" s="36"/>
      <c r="U818" s="36"/>
      <c r="V818" s="36"/>
      <c r="W818" s="36"/>
      <c r="X818" s="36"/>
      <c r="AB818" s="37"/>
      <c r="AC818" s="38"/>
      <c r="AN818" s="39"/>
    </row>
    <row r="819" ht="15.75" customHeight="1">
      <c r="A819" s="40"/>
      <c r="T819" s="36"/>
      <c r="U819" s="36"/>
      <c r="V819" s="36"/>
      <c r="W819" s="36"/>
      <c r="X819" s="36"/>
      <c r="AB819" s="37"/>
      <c r="AC819" s="38"/>
      <c r="AN819" s="39"/>
    </row>
    <row r="820" ht="15.75" customHeight="1">
      <c r="A820" s="40"/>
      <c r="T820" s="36"/>
      <c r="U820" s="36"/>
      <c r="V820" s="36"/>
      <c r="W820" s="36"/>
      <c r="X820" s="36"/>
      <c r="AB820" s="37"/>
      <c r="AC820" s="38"/>
      <c r="AN820" s="39"/>
    </row>
    <row r="821" ht="15.75" customHeight="1">
      <c r="A821" s="40"/>
      <c r="T821" s="36"/>
      <c r="U821" s="36"/>
      <c r="V821" s="36"/>
      <c r="W821" s="36"/>
      <c r="X821" s="36"/>
      <c r="AB821" s="37"/>
      <c r="AC821" s="38"/>
      <c r="AN821" s="39"/>
    </row>
    <row r="822" ht="15.75" customHeight="1">
      <c r="A822" s="40"/>
      <c r="T822" s="36"/>
      <c r="U822" s="36"/>
      <c r="V822" s="36"/>
      <c r="W822" s="36"/>
      <c r="X822" s="36"/>
      <c r="AB822" s="37"/>
      <c r="AC822" s="38"/>
      <c r="AN822" s="39"/>
    </row>
    <row r="823" ht="15.75" customHeight="1">
      <c r="A823" s="40"/>
      <c r="T823" s="36"/>
      <c r="U823" s="36"/>
      <c r="V823" s="36"/>
      <c r="W823" s="36"/>
      <c r="X823" s="36"/>
      <c r="AB823" s="37"/>
      <c r="AC823" s="38"/>
      <c r="AN823" s="39"/>
    </row>
    <row r="824" ht="15.75" customHeight="1">
      <c r="A824" s="40"/>
      <c r="T824" s="36"/>
      <c r="U824" s="36"/>
      <c r="V824" s="36"/>
      <c r="W824" s="36"/>
      <c r="X824" s="36"/>
      <c r="AB824" s="37"/>
      <c r="AC824" s="38"/>
      <c r="AN824" s="39"/>
    </row>
    <row r="825" ht="15.75" customHeight="1">
      <c r="A825" s="40"/>
      <c r="T825" s="36"/>
      <c r="U825" s="36"/>
      <c r="V825" s="36"/>
      <c r="W825" s="36"/>
      <c r="X825" s="36"/>
      <c r="AB825" s="37"/>
      <c r="AC825" s="38"/>
      <c r="AN825" s="39"/>
    </row>
    <row r="826" ht="15.75" customHeight="1">
      <c r="A826" s="40"/>
      <c r="T826" s="36"/>
      <c r="U826" s="36"/>
      <c r="V826" s="36"/>
      <c r="W826" s="36"/>
      <c r="X826" s="36"/>
      <c r="AB826" s="37"/>
      <c r="AC826" s="38"/>
      <c r="AN826" s="39"/>
    </row>
    <row r="827" ht="15.75" customHeight="1">
      <c r="A827" s="40"/>
      <c r="T827" s="36"/>
      <c r="U827" s="36"/>
      <c r="V827" s="36"/>
      <c r="W827" s="36"/>
      <c r="X827" s="36"/>
      <c r="AB827" s="37"/>
      <c r="AC827" s="38"/>
      <c r="AN827" s="39"/>
    </row>
    <row r="828" ht="15.75" customHeight="1">
      <c r="A828" s="40"/>
      <c r="T828" s="36"/>
      <c r="U828" s="36"/>
      <c r="V828" s="36"/>
      <c r="W828" s="36"/>
      <c r="X828" s="36"/>
      <c r="AB828" s="37"/>
      <c r="AC828" s="38"/>
      <c r="AN828" s="39"/>
    </row>
    <row r="829" ht="15.75" customHeight="1">
      <c r="A829" s="40"/>
      <c r="T829" s="36"/>
      <c r="U829" s="36"/>
      <c r="V829" s="36"/>
      <c r="W829" s="36"/>
      <c r="X829" s="36"/>
      <c r="AB829" s="37"/>
      <c r="AC829" s="38"/>
      <c r="AN829" s="39"/>
    </row>
    <row r="830" ht="15.75" customHeight="1">
      <c r="A830" s="40"/>
      <c r="T830" s="36"/>
      <c r="U830" s="36"/>
      <c r="V830" s="36"/>
      <c r="W830" s="36"/>
      <c r="X830" s="36"/>
      <c r="AB830" s="37"/>
      <c r="AC830" s="38"/>
      <c r="AN830" s="39"/>
    </row>
    <row r="831" ht="15.75" customHeight="1">
      <c r="A831" s="40"/>
      <c r="T831" s="36"/>
      <c r="U831" s="36"/>
      <c r="V831" s="36"/>
      <c r="W831" s="36"/>
      <c r="X831" s="36"/>
      <c r="AB831" s="37"/>
      <c r="AC831" s="38"/>
      <c r="AN831" s="39"/>
    </row>
    <row r="832" ht="15.75" customHeight="1">
      <c r="A832" s="40"/>
      <c r="T832" s="36"/>
      <c r="U832" s="36"/>
      <c r="V832" s="36"/>
      <c r="W832" s="36"/>
      <c r="X832" s="36"/>
      <c r="AB832" s="37"/>
      <c r="AC832" s="38"/>
      <c r="AN832" s="39"/>
    </row>
    <row r="833" ht="15.75" customHeight="1">
      <c r="A833" s="40"/>
      <c r="T833" s="36"/>
      <c r="U833" s="36"/>
      <c r="V833" s="36"/>
      <c r="W833" s="36"/>
      <c r="X833" s="36"/>
      <c r="AB833" s="37"/>
      <c r="AC833" s="38"/>
      <c r="AN833" s="39"/>
    </row>
    <row r="834" ht="15.75" customHeight="1">
      <c r="A834" s="40"/>
      <c r="T834" s="36"/>
      <c r="U834" s="36"/>
      <c r="V834" s="36"/>
      <c r="W834" s="36"/>
      <c r="X834" s="36"/>
      <c r="AB834" s="37"/>
      <c r="AC834" s="38"/>
      <c r="AN834" s="39"/>
    </row>
    <row r="835" ht="15.75" customHeight="1">
      <c r="A835" s="40"/>
      <c r="T835" s="36"/>
      <c r="U835" s="36"/>
      <c r="V835" s="36"/>
      <c r="W835" s="36"/>
      <c r="X835" s="36"/>
      <c r="AB835" s="37"/>
      <c r="AC835" s="38"/>
      <c r="AN835" s="39"/>
    </row>
    <row r="836" ht="15.75" customHeight="1">
      <c r="A836" s="40"/>
      <c r="T836" s="36"/>
      <c r="U836" s="36"/>
      <c r="V836" s="36"/>
      <c r="W836" s="36"/>
      <c r="X836" s="36"/>
      <c r="AB836" s="37"/>
      <c r="AC836" s="38"/>
      <c r="AN836" s="39"/>
    </row>
    <row r="837" ht="15.75" customHeight="1">
      <c r="A837" s="40"/>
      <c r="T837" s="36"/>
      <c r="U837" s="36"/>
      <c r="V837" s="36"/>
      <c r="W837" s="36"/>
      <c r="X837" s="36"/>
      <c r="AB837" s="37"/>
      <c r="AC837" s="38"/>
      <c r="AN837" s="39"/>
    </row>
    <row r="838" ht="15.75" customHeight="1">
      <c r="A838" s="40"/>
      <c r="T838" s="36"/>
      <c r="U838" s="36"/>
      <c r="V838" s="36"/>
      <c r="W838" s="36"/>
      <c r="X838" s="36"/>
      <c r="AB838" s="37"/>
      <c r="AC838" s="38"/>
      <c r="AN838" s="39"/>
    </row>
    <row r="839" ht="15.75" customHeight="1">
      <c r="A839" s="40"/>
      <c r="T839" s="36"/>
      <c r="U839" s="36"/>
      <c r="V839" s="36"/>
      <c r="W839" s="36"/>
      <c r="X839" s="36"/>
      <c r="AB839" s="37"/>
      <c r="AC839" s="38"/>
      <c r="AN839" s="39"/>
    </row>
    <row r="840" ht="15.75" customHeight="1">
      <c r="A840" s="40"/>
      <c r="T840" s="36"/>
      <c r="U840" s="36"/>
      <c r="V840" s="36"/>
      <c r="W840" s="36"/>
      <c r="X840" s="36"/>
      <c r="AB840" s="37"/>
      <c r="AC840" s="38"/>
      <c r="AN840" s="39"/>
    </row>
    <row r="841" ht="15.75" customHeight="1">
      <c r="A841" s="40"/>
      <c r="T841" s="36"/>
      <c r="U841" s="36"/>
      <c r="V841" s="36"/>
      <c r="W841" s="36"/>
      <c r="X841" s="36"/>
      <c r="AB841" s="37"/>
      <c r="AC841" s="38"/>
      <c r="AN841" s="39"/>
    </row>
    <row r="842" ht="15.75" customHeight="1">
      <c r="A842" s="40"/>
      <c r="T842" s="36"/>
      <c r="U842" s="36"/>
      <c r="V842" s="36"/>
      <c r="W842" s="36"/>
      <c r="X842" s="36"/>
      <c r="AB842" s="37"/>
      <c r="AC842" s="38"/>
      <c r="AN842" s="39"/>
    </row>
    <row r="843" ht="15.75" customHeight="1">
      <c r="A843" s="40"/>
      <c r="T843" s="36"/>
      <c r="U843" s="36"/>
      <c r="V843" s="36"/>
      <c r="W843" s="36"/>
      <c r="X843" s="36"/>
      <c r="AB843" s="37"/>
      <c r="AC843" s="38"/>
      <c r="AN843" s="39"/>
    </row>
    <row r="844" ht="15.75" customHeight="1">
      <c r="A844" s="40"/>
      <c r="T844" s="36"/>
      <c r="U844" s="36"/>
      <c r="V844" s="36"/>
      <c r="W844" s="36"/>
      <c r="X844" s="36"/>
      <c r="AB844" s="37"/>
      <c r="AC844" s="38"/>
      <c r="AN844" s="39"/>
    </row>
    <row r="845" ht="15.75" customHeight="1">
      <c r="A845" s="40"/>
      <c r="T845" s="36"/>
      <c r="U845" s="36"/>
      <c r="V845" s="36"/>
      <c r="W845" s="36"/>
      <c r="X845" s="36"/>
      <c r="AB845" s="37"/>
      <c r="AC845" s="38"/>
      <c r="AN845" s="39"/>
    </row>
    <row r="846" ht="15.75" customHeight="1">
      <c r="A846" s="40"/>
      <c r="T846" s="36"/>
      <c r="U846" s="36"/>
      <c r="V846" s="36"/>
      <c r="W846" s="36"/>
      <c r="X846" s="36"/>
      <c r="AB846" s="37"/>
      <c r="AC846" s="38"/>
      <c r="AN846" s="39"/>
    </row>
    <row r="847" ht="15.75" customHeight="1">
      <c r="A847" s="40"/>
      <c r="T847" s="36"/>
      <c r="U847" s="36"/>
      <c r="V847" s="36"/>
      <c r="W847" s="36"/>
      <c r="X847" s="36"/>
      <c r="AB847" s="37"/>
      <c r="AC847" s="38"/>
      <c r="AN847" s="39"/>
    </row>
    <row r="848" ht="15.75" customHeight="1">
      <c r="A848" s="40"/>
      <c r="T848" s="36"/>
      <c r="U848" s="36"/>
      <c r="V848" s="36"/>
      <c r="W848" s="36"/>
      <c r="X848" s="36"/>
      <c r="AB848" s="37"/>
      <c r="AC848" s="38"/>
      <c r="AN848" s="39"/>
    </row>
    <row r="849" ht="15.75" customHeight="1">
      <c r="A849" s="40"/>
      <c r="T849" s="36"/>
      <c r="U849" s="36"/>
      <c r="V849" s="36"/>
      <c r="W849" s="36"/>
      <c r="X849" s="36"/>
      <c r="AB849" s="37"/>
      <c r="AC849" s="38"/>
      <c r="AN849" s="39"/>
    </row>
    <row r="850" ht="15.75" customHeight="1">
      <c r="A850" s="40"/>
      <c r="T850" s="36"/>
      <c r="U850" s="36"/>
      <c r="V850" s="36"/>
      <c r="W850" s="36"/>
      <c r="X850" s="36"/>
      <c r="AB850" s="37"/>
      <c r="AC850" s="38"/>
      <c r="AN850" s="39"/>
    </row>
    <row r="851" ht="15.75" customHeight="1">
      <c r="A851" s="40"/>
      <c r="T851" s="36"/>
      <c r="U851" s="36"/>
      <c r="V851" s="36"/>
      <c r="W851" s="36"/>
      <c r="X851" s="36"/>
      <c r="AB851" s="37"/>
      <c r="AC851" s="38"/>
      <c r="AN851" s="39"/>
    </row>
    <row r="852" ht="15.75" customHeight="1">
      <c r="A852" s="40"/>
      <c r="T852" s="36"/>
      <c r="U852" s="36"/>
      <c r="V852" s="36"/>
      <c r="W852" s="36"/>
      <c r="X852" s="36"/>
      <c r="AB852" s="37"/>
      <c r="AC852" s="38"/>
      <c r="AN852" s="39"/>
    </row>
    <row r="853" ht="15.75" customHeight="1">
      <c r="A853" s="40"/>
      <c r="T853" s="36"/>
      <c r="U853" s="36"/>
      <c r="V853" s="36"/>
      <c r="W853" s="36"/>
      <c r="X853" s="36"/>
      <c r="AB853" s="37"/>
      <c r="AC853" s="38"/>
      <c r="AN853" s="39"/>
    </row>
    <row r="854" ht="15.75" customHeight="1">
      <c r="A854" s="40"/>
      <c r="T854" s="36"/>
      <c r="U854" s="36"/>
      <c r="V854" s="36"/>
      <c r="W854" s="36"/>
      <c r="X854" s="36"/>
      <c r="AB854" s="37"/>
      <c r="AC854" s="38"/>
      <c r="AN854" s="39"/>
    </row>
    <row r="855" ht="15.75" customHeight="1">
      <c r="A855" s="40"/>
      <c r="T855" s="36"/>
      <c r="U855" s="36"/>
      <c r="V855" s="36"/>
      <c r="W855" s="36"/>
      <c r="X855" s="36"/>
      <c r="AB855" s="37"/>
      <c r="AC855" s="38"/>
      <c r="AN855" s="39"/>
    </row>
    <row r="856" ht="15.75" customHeight="1">
      <c r="A856" s="40"/>
      <c r="T856" s="36"/>
      <c r="U856" s="36"/>
      <c r="V856" s="36"/>
      <c r="W856" s="36"/>
      <c r="X856" s="36"/>
      <c r="AB856" s="37"/>
      <c r="AC856" s="38"/>
      <c r="AN856" s="39"/>
    </row>
    <row r="857" ht="15.75" customHeight="1">
      <c r="A857" s="40"/>
      <c r="T857" s="36"/>
      <c r="U857" s="36"/>
      <c r="V857" s="36"/>
      <c r="W857" s="36"/>
      <c r="X857" s="36"/>
      <c r="AB857" s="37"/>
      <c r="AC857" s="38"/>
      <c r="AN857" s="39"/>
    </row>
    <row r="858" ht="15.75" customHeight="1">
      <c r="A858" s="40"/>
      <c r="T858" s="36"/>
      <c r="U858" s="36"/>
      <c r="V858" s="36"/>
      <c r="W858" s="36"/>
      <c r="X858" s="36"/>
      <c r="AB858" s="37"/>
      <c r="AC858" s="38"/>
      <c r="AN858" s="39"/>
    </row>
    <row r="859" ht="15.75" customHeight="1">
      <c r="A859" s="40"/>
      <c r="T859" s="36"/>
      <c r="U859" s="36"/>
      <c r="V859" s="36"/>
      <c r="W859" s="36"/>
      <c r="X859" s="36"/>
      <c r="AB859" s="37"/>
      <c r="AC859" s="38"/>
      <c r="AN859" s="39"/>
    </row>
    <row r="860" ht="15.75" customHeight="1">
      <c r="A860" s="40"/>
      <c r="T860" s="36"/>
      <c r="U860" s="36"/>
      <c r="V860" s="36"/>
      <c r="W860" s="36"/>
      <c r="X860" s="36"/>
      <c r="AB860" s="37"/>
      <c r="AC860" s="38"/>
      <c r="AN860" s="39"/>
    </row>
    <row r="861" ht="15.75" customHeight="1">
      <c r="A861" s="40"/>
      <c r="T861" s="36"/>
      <c r="U861" s="36"/>
      <c r="V861" s="36"/>
      <c r="W861" s="36"/>
      <c r="X861" s="36"/>
      <c r="AB861" s="37"/>
      <c r="AC861" s="38"/>
      <c r="AN861" s="39"/>
    </row>
    <row r="862" ht="15.75" customHeight="1">
      <c r="A862" s="40"/>
      <c r="T862" s="36"/>
      <c r="U862" s="36"/>
      <c r="V862" s="36"/>
      <c r="W862" s="36"/>
      <c r="X862" s="36"/>
      <c r="AB862" s="37"/>
      <c r="AC862" s="38"/>
      <c r="AN862" s="39"/>
    </row>
    <row r="863" ht="15.75" customHeight="1">
      <c r="A863" s="40"/>
      <c r="T863" s="36"/>
      <c r="U863" s="36"/>
      <c r="V863" s="36"/>
      <c r="W863" s="36"/>
      <c r="X863" s="36"/>
      <c r="AB863" s="37"/>
      <c r="AC863" s="38"/>
      <c r="AN863" s="39"/>
    </row>
    <row r="864" ht="15.75" customHeight="1">
      <c r="A864" s="40"/>
      <c r="T864" s="36"/>
      <c r="U864" s="36"/>
      <c r="V864" s="36"/>
      <c r="W864" s="36"/>
      <c r="X864" s="36"/>
      <c r="AB864" s="37"/>
      <c r="AC864" s="38"/>
      <c r="AN864" s="39"/>
    </row>
    <row r="865" ht="15.75" customHeight="1">
      <c r="A865" s="40"/>
      <c r="T865" s="36"/>
      <c r="U865" s="36"/>
      <c r="V865" s="36"/>
      <c r="W865" s="36"/>
      <c r="X865" s="36"/>
      <c r="AB865" s="37"/>
      <c r="AC865" s="38"/>
      <c r="AN865" s="39"/>
    </row>
    <row r="866" ht="15.75" customHeight="1">
      <c r="A866" s="40"/>
      <c r="T866" s="36"/>
      <c r="U866" s="36"/>
      <c r="V866" s="36"/>
      <c r="W866" s="36"/>
      <c r="X866" s="36"/>
      <c r="AB866" s="37"/>
      <c r="AC866" s="38"/>
      <c r="AN866" s="39"/>
    </row>
    <row r="867" ht="15.75" customHeight="1">
      <c r="A867" s="40"/>
      <c r="T867" s="36"/>
      <c r="U867" s="36"/>
      <c r="V867" s="36"/>
      <c r="W867" s="36"/>
      <c r="X867" s="36"/>
      <c r="AB867" s="37"/>
      <c r="AC867" s="38"/>
      <c r="AN867" s="39"/>
    </row>
    <row r="868" ht="15.75" customHeight="1">
      <c r="A868" s="40"/>
      <c r="T868" s="36"/>
      <c r="U868" s="36"/>
      <c r="V868" s="36"/>
      <c r="W868" s="36"/>
      <c r="X868" s="36"/>
      <c r="AB868" s="37"/>
      <c r="AC868" s="38"/>
      <c r="AN868" s="39"/>
    </row>
    <row r="869" ht="15.75" customHeight="1">
      <c r="A869" s="40"/>
      <c r="T869" s="36"/>
      <c r="U869" s="36"/>
      <c r="V869" s="36"/>
      <c r="W869" s="36"/>
      <c r="X869" s="36"/>
      <c r="AB869" s="37"/>
      <c r="AC869" s="38"/>
      <c r="AN869" s="39"/>
    </row>
    <row r="870" ht="15.75" customHeight="1">
      <c r="A870" s="40"/>
      <c r="T870" s="36"/>
      <c r="U870" s="36"/>
      <c r="V870" s="36"/>
      <c r="W870" s="36"/>
      <c r="X870" s="36"/>
      <c r="AB870" s="37"/>
      <c r="AC870" s="38"/>
      <c r="AN870" s="39"/>
    </row>
    <row r="871" ht="15.75" customHeight="1">
      <c r="A871" s="40"/>
      <c r="T871" s="36"/>
      <c r="U871" s="36"/>
      <c r="V871" s="36"/>
      <c r="W871" s="36"/>
      <c r="X871" s="36"/>
      <c r="AB871" s="37"/>
      <c r="AC871" s="38"/>
      <c r="AN871" s="39"/>
    </row>
    <row r="872" ht="15.75" customHeight="1">
      <c r="A872" s="40"/>
      <c r="T872" s="36"/>
      <c r="U872" s="36"/>
      <c r="V872" s="36"/>
      <c r="W872" s="36"/>
      <c r="X872" s="36"/>
      <c r="AB872" s="37"/>
      <c r="AC872" s="38"/>
      <c r="AN872" s="39"/>
    </row>
    <row r="873" ht="15.75" customHeight="1">
      <c r="A873" s="40"/>
      <c r="T873" s="36"/>
      <c r="U873" s="36"/>
      <c r="V873" s="36"/>
      <c r="W873" s="36"/>
      <c r="X873" s="36"/>
      <c r="AB873" s="37"/>
      <c r="AC873" s="38"/>
      <c r="AN873" s="39"/>
    </row>
    <row r="874" ht="15.75" customHeight="1">
      <c r="A874" s="40"/>
      <c r="T874" s="36"/>
      <c r="U874" s="36"/>
      <c r="V874" s="36"/>
      <c r="W874" s="36"/>
      <c r="X874" s="36"/>
      <c r="AB874" s="37"/>
      <c r="AC874" s="38"/>
      <c r="AN874" s="39"/>
    </row>
    <row r="875" ht="15.75" customHeight="1">
      <c r="A875" s="40"/>
      <c r="T875" s="36"/>
      <c r="U875" s="36"/>
      <c r="V875" s="36"/>
      <c r="W875" s="36"/>
      <c r="X875" s="36"/>
      <c r="AB875" s="37"/>
      <c r="AC875" s="38"/>
      <c r="AN875" s="39"/>
    </row>
    <row r="876" ht="15.75" customHeight="1">
      <c r="A876" s="40"/>
      <c r="T876" s="36"/>
      <c r="U876" s="36"/>
      <c r="V876" s="36"/>
      <c r="W876" s="36"/>
      <c r="X876" s="36"/>
      <c r="AB876" s="37"/>
      <c r="AC876" s="38"/>
      <c r="AN876" s="39"/>
    </row>
    <row r="877" ht="15.75" customHeight="1">
      <c r="A877" s="40"/>
      <c r="T877" s="36"/>
      <c r="U877" s="36"/>
      <c r="V877" s="36"/>
      <c r="W877" s="36"/>
      <c r="X877" s="36"/>
      <c r="AB877" s="37"/>
      <c r="AC877" s="38"/>
      <c r="AN877" s="39"/>
    </row>
    <row r="878" ht="15.75" customHeight="1">
      <c r="A878" s="40"/>
      <c r="T878" s="36"/>
      <c r="U878" s="36"/>
      <c r="V878" s="36"/>
      <c r="W878" s="36"/>
      <c r="X878" s="36"/>
      <c r="AB878" s="37"/>
      <c r="AC878" s="38"/>
      <c r="AN878" s="39"/>
    </row>
    <row r="879" ht="15.75" customHeight="1">
      <c r="A879" s="40"/>
      <c r="T879" s="36"/>
      <c r="U879" s="36"/>
      <c r="V879" s="36"/>
      <c r="W879" s="36"/>
      <c r="X879" s="36"/>
      <c r="AB879" s="37"/>
      <c r="AC879" s="38"/>
      <c r="AN879" s="39"/>
    </row>
    <row r="880" ht="15.75" customHeight="1">
      <c r="A880" s="40"/>
      <c r="T880" s="36"/>
      <c r="U880" s="36"/>
      <c r="V880" s="36"/>
      <c r="W880" s="36"/>
      <c r="X880" s="36"/>
      <c r="AB880" s="37"/>
      <c r="AC880" s="38"/>
      <c r="AN880" s="39"/>
    </row>
    <row r="881" ht="15.75" customHeight="1">
      <c r="A881" s="40"/>
      <c r="T881" s="36"/>
      <c r="U881" s="36"/>
      <c r="V881" s="36"/>
      <c r="W881" s="36"/>
      <c r="X881" s="36"/>
      <c r="AB881" s="37"/>
      <c r="AC881" s="38"/>
      <c r="AN881" s="39"/>
    </row>
    <row r="882" ht="15.75" customHeight="1">
      <c r="A882" s="40"/>
      <c r="T882" s="36"/>
      <c r="U882" s="36"/>
      <c r="V882" s="36"/>
      <c r="W882" s="36"/>
      <c r="X882" s="36"/>
      <c r="AB882" s="37"/>
      <c r="AC882" s="38"/>
      <c r="AN882" s="39"/>
    </row>
    <row r="883" ht="15.75" customHeight="1">
      <c r="A883" s="40"/>
      <c r="T883" s="36"/>
      <c r="U883" s="36"/>
      <c r="V883" s="36"/>
      <c r="W883" s="36"/>
      <c r="X883" s="36"/>
      <c r="AB883" s="37"/>
      <c r="AC883" s="38"/>
      <c r="AN883" s="39"/>
    </row>
    <row r="884" ht="15.75" customHeight="1">
      <c r="A884" s="40"/>
      <c r="T884" s="36"/>
      <c r="U884" s="36"/>
      <c r="V884" s="36"/>
      <c r="W884" s="36"/>
      <c r="X884" s="36"/>
      <c r="AB884" s="37"/>
      <c r="AC884" s="38"/>
      <c r="AN884" s="39"/>
    </row>
    <row r="885" ht="15.75" customHeight="1">
      <c r="A885" s="40"/>
      <c r="T885" s="36"/>
      <c r="U885" s="36"/>
      <c r="V885" s="36"/>
      <c r="W885" s="36"/>
      <c r="X885" s="36"/>
      <c r="AB885" s="37"/>
      <c r="AC885" s="38"/>
      <c r="AN885" s="39"/>
    </row>
    <row r="886" ht="15.75" customHeight="1">
      <c r="A886" s="40"/>
      <c r="T886" s="36"/>
      <c r="U886" s="36"/>
      <c r="V886" s="36"/>
      <c r="W886" s="36"/>
      <c r="X886" s="36"/>
      <c r="AB886" s="37"/>
      <c r="AC886" s="38"/>
      <c r="AN886" s="39"/>
    </row>
    <row r="887" ht="15.75" customHeight="1">
      <c r="A887" s="40"/>
      <c r="T887" s="36"/>
      <c r="U887" s="36"/>
      <c r="V887" s="36"/>
      <c r="W887" s="36"/>
      <c r="X887" s="36"/>
      <c r="AB887" s="37"/>
      <c r="AC887" s="38"/>
      <c r="AN887" s="39"/>
    </row>
    <row r="888" ht="15.75" customHeight="1">
      <c r="A888" s="40"/>
      <c r="T888" s="36"/>
      <c r="U888" s="36"/>
      <c r="V888" s="36"/>
      <c r="W888" s="36"/>
      <c r="X888" s="36"/>
      <c r="AB888" s="37"/>
      <c r="AC888" s="38"/>
      <c r="AN888" s="39"/>
    </row>
    <row r="889" ht="15.75" customHeight="1">
      <c r="A889" s="40"/>
      <c r="T889" s="36"/>
      <c r="U889" s="36"/>
      <c r="V889" s="36"/>
      <c r="W889" s="36"/>
      <c r="X889" s="36"/>
      <c r="AB889" s="37"/>
      <c r="AC889" s="38"/>
      <c r="AN889" s="39"/>
    </row>
    <row r="890" ht="15.75" customHeight="1">
      <c r="A890" s="40"/>
      <c r="T890" s="36"/>
      <c r="U890" s="36"/>
      <c r="V890" s="36"/>
      <c r="W890" s="36"/>
      <c r="X890" s="36"/>
      <c r="AB890" s="37"/>
      <c r="AC890" s="38"/>
      <c r="AN890" s="39"/>
    </row>
    <row r="891" ht="15.75" customHeight="1">
      <c r="A891" s="40"/>
      <c r="T891" s="36"/>
      <c r="U891" s="36"/>
      <c r="V891" s="36"/>
      <c r="W891" s="36"/>
      <c r="X891" s="36"/>
      <c r="AB891" s="37"/>
      <c r="AC891" s="38"/>
      <c r="AN891" s="39"/>
    </row>
    <row r="892" ht="15.75" customHeight="1">
      <c r="A892" s="40"/>
      <c r="T892" s="36"/>
      <c r="U892" s="36"/>
      <c r="V892" s="36"/>
      <c r="W892" s="36"/>
      <c r="X892" s="36"/>
      <c r="AB892" s="37"/>
      <c r="AC892" s="38"/>
      <c r="AN892" s="39"/>
    </row>
    <row r="893" ht="15.75" customHeight="1">
      <c r="A893" s="40"/>
      <c r="T893" s="36"/>
      <c r="U893" s="36"/>
      <c r="V893" s="36"/>
      <c r="W893" s="36"/>
      <c r="X893" s="36"/>
      <c r="AB893" s="37"/>
      <c r="AC893" s="38"/>
      <c r="AN893" s="39"/>
    </row>
    <row r="894" ht="15.75" customHeight="1">
      <c r="A894" s="40"/>
      <c r="T894" s="36"/>
      <c r="U894" s="36"/>
      <c r="V894" s="36"/>
      <c r="W894" s="36"/>
      <c r="X894" s="36"/>
      <c r="AB894" s="37"/>
      <c r="AC894" s="38"/>
      <c r="AN894" s="39"/>
    </row>
    <row r="895" ht="15.75" customHeight="1">
      <c r="A895" s="40"/>
      <c r="T895" s="36"/>
      <c r="U895" s="36"/>
      <c r="V895" s="36"/>
      <c r="W895" s="36"/>
      <c r="X895" s="36"/>
      <c r="AB895" s="37"/>
      <c r="AC895" s="38"/>
      <c r="AN895" s="39"/>
    </row>
    <row r="896" ht="15.75" customHeight="1">
      <c r="A896" s="40"/>
      <c r="T896" s="36"/>
      <c r="U896" s="36"/>
      <c r="V896" s="36"/>
      <c r="W896" s="36"/>
      <c r="X896" s="36"/>
      <c r="AB896" s="37"/>
      <c r="AC896" s="38"/>
      <c r="AN896" s="39"/>
    </row>
    <row r="897" ht="15.75" customHeight="1">
      <c r="A897" s="40"/>
      <c r="T897" s="36"/>
      <c r="U897" s="36"/>
      <c r="V897" s="36"/>
      <c r="W897" s="36"/>
      <c r="X897" s="36"/>
      <c r="AB897" s="37"/>
      <c r="AC897" s="38"/>
      <c r="AN897" s="39"/>
    </row>
    <row r="898" ht="15.75" customHeight="1">
      <c r="A898" s="40"/>
      <c r="T898" s="36"/>
      <c r="U898" s="36"/>
      <c r="V898" s="36"/>
      <c r="W898" s="36"/>
      <c r="X898" s="36"/>
      <c r="AB898" s="37"/>
      <c r="AC898" s="38"/>
      <c r="AN898" s="39"/>
    </row>
    <row r="899" ht="15.75" customHeight="1">
      <c r="A899" s="40"/>
      <c r="T899" s="36"/>
      <c r="U899" s="36"/>
      <c r="V899" s="36"/>
      <c r="W899" s="36"/>
      <c r="X899" s="36"/>
      <c r="AB899" s="37"/>
      <c r="AC899" s="38"/>
      <c r="AN899" s="39"/>
    </row>
    <row r="900" ht="15.75" customHeight="1">
      <c r="A900" s="40"/>
      <c r="T900" s="36"/>
      <c r="U900" s="36"/>
      <c r="V900" s="36"/>
      <c r="W900" s="36"/>
      <c r="X900" s="36"/>
      <c r="AB900" s="37"/>
      <c r="AC900" s="38"/>
      <c r="AN900" s="39"/>
    </row>
    <row r="901" ht="15.75" customHeight="1">
      <c r="A901" s="40"/>
      <c r="T901" s="36"/>
      <c r="U901" s="36"/>
      <c r="V901" s="36"/>
      <c r="W901" s="36"/>
      <c r="X901" s="36"/>
      <c r="AB901" s="37"/>
      <c r="AC901" s="38"/>
      <c r="AN901" s="39"/>
    </row>
    <row r="902" ht="15.75" customHeight="1">
      <c r="A902" s="40"/>
      <c r="T902" s="36"/>
      <c r="U902" s="36"/>
      <c r="V902" s="36"/>
      <c r="W902" s="36"/>
      <c r="X902" s="36"/>
      <c r="AB902" s="37"/>
      <c r="AC902" s="38"/>
      <c r="AN902" s="39"/>
    </row>
    <row r="903" ht="15.75" customHeight="1">
      <c r="A903" s="40"/>
      <c r="T903" s="36"/>
      <c r="U903" s="36"/>
      <c r="V903" s="36"/>
      <c r="W903" s="36"/>
      <c r="X903" s="36"/>
      <c r="AB903" s="37"/>
      <c r="AC903" s="38"/>
      <c r="AN903" s="39"/>
    </row>
    <row r="904" ht="15.75" customHeight="1">
      <c r="A904" s="40"/>
      <c r="T904" s="36"/>
      <c r="U904" s="36"/>
      <c r="V904" s="36"/>
      <c r="W904" s="36"/>
      <c r="X904" s="36"/>
      <c r="AB904" s="37"/>
      <c r="AC904" s="38"/>
      <c r="AN904" s="39"/>
    </row>
    <row r="905" ht="15.75" customHeight="1">
      <c r="A905" s="40"/>
      <c r="T905" s="36"/>
      <c r="U905" s="36"/>
      <c r="V905" s="36"/>
      <c r="W905" s="36"/>
      <c r="X905" s="36"/>
      <c r="AB905" s="37"/>
      <c r="AC905" s="38"/>
      <c r="AN905" s="39"/>
    </row>
    <row r="906" ht="15.75" customHeight="1">
      <c r="A906" s="40"/>
      <c r="T906" s="36"/>
      <c r="U906" s="36"/>
      <c r="V906" s="36"/>
      <c r="W906" s="36"/>
      <c r="X906" s="36"/>
      <c r="AB906" s="37"/>
      <c r="AC906" s="38"/>
      <c r="AN906" s="39"/>
    </row>
    <row r="907" ht="15.75" customHeight="1">
      <c r="A907" s="40"/>
      <c r="T907" s="36"/>
      <c r="U907" s="36"/>
      <c r="V907" s="36"/>
      <c r="W907" s="36"/>
      <c r="X907" s="36"/>
      <c r="AB907" s="37"/>
      <c r="AC907" s="38"/>
      <c r="AN907" s="39"/>
    </row>
    <row r="908" ht="15.75" customHeight="1">
      <c r="A908" s="40"/>
      <c r="T908" s="36"/>
      <c r="U908" s="36"/>
      <c r="V908" s="36"/>
      <c r="W908" s="36"/>
      <c r="X908" s="36"/>
      <c r="AB908" s="37"/>
      <c r="AC908" s="38"/>
      <c r="AN908" s="39"/>
    </row>
    <row r="909" ht="15.75" customHeight="1">
      <c r="A909" s="40"/>
      <c r="T909" s="36"/>
      <c r="U909" s="36"/>
      <c r="V909" s="36"/>
      <c r="W909" s="36"/>
      <c r="X909" s="36"/>
      <c r="AB909" s="37"/>
      <c r="AC909" s="38"/>
      <c r="AN909" s="39"/>
    </row>
    <row r="910" ht="15.75" customHeight="1">
      <c r="A910" s="40"/>
      <c r="T910" s="36"/>
      <c r="U910" s="36"/>
      <c r="V910" s="36"/>
      <c r="W910" s="36"/>
      <c r="X910" s="36"/>
      <c r="AB910" s="37"/>
      <c r="AC910" s="38"/>
      <c r="AN910" s="39"/>
    </row>
    <row r="911" ht="15.75" customHeight="1">
      <c r="A911" s="40"/>
      <c r="T911" s="36"/>
      <c r="U911" s="36"/>
      <c r="V911" s="36"/>
      <c r="W911" s="36"/>
      <c r="X911" s="36"/>
      <c r="AB911" s="37"/>
      <c r="AC911" s="38"/>
      <c r="AN911" s="39"/>
    </row>
    <row r="912" ht="15.75" customHeight="1">
      <c r="A912" s="40"/>
      <c r="T912" s="36"/>
      <c r="U912" s="36"/>
      <c r="V912" s="36"/>
      <c r="W912" s="36"/>
      <c r="X912" s="36"/>
      <c r="AB912" s="37"/>
      <c r="AC912" s="38"/>
      <c r="AN912" s="39"/>
    </row>
    <row r="913" ht="15.75" customHeight="1">
      <c r="A913" s="40"/>
      <c r="T913" s="36"/>
      <c r="U913" s="36"/>
      <c r="V913" s="36"/>
      <c r="W913" s="36"/>
      <c r="X913" s="36"/>
      <c r="AB913" s="37"/>
      <c r="AC913" s="38"/>
      <c r="AN913" s="39"/>
    </row>
    <row r="914" ht="15.75" customHeight="1">
      <c r="A914" s="40"/>
      <c r="T914" s="36"/>
      <c r="U914" s="36"/>
      <c r="V914" s="36"/>
      <c r="W914" s="36"/>
      <c r="X914" s="36"/>
      <c r="AB914" s="37"/>
      <c r="AC914" s="38"/>
      <c r="AN914" s="39"/>
    </row>
    <row r="915" ht="15.75" customHeight="1">
      <c r="A915" s="40"/>
      <c r="T915" s="36"/>
      <c r="U915" s="36"/>
      <c r="V915" s="36"/>
      <c r="W915" s="36"/>
      <c r="X915" s="36"/>
      <c r="AB915" s="37"/>
      <c r="AC915" s="38"/>
      <c r="AN915" s="39"/>
    </row>
    <row r="916" ht="15.75" customHeight="1">
      <c r="A916" s="40"/>
      <c r="T916" s="36"/>
      <c r="U916" s="36"/>
      <c r="V916" s="36"/>
      <c r="W916" s="36"/>
      <c r="X916" s="36"/>
      <c r="AB916" s="37"/>
      <c r="AC916" s="38"/>
      <c r="AN916" s="39"/>
    </row>
    <row r="917" ht="15.75" customHeight="1">
      <c r="A917" s="40"/>
      <c r="T917" s="36"/>
      <c r="U917" s="36"/>
      <c r="V917" s="36"/>
      <c r="W917" s="36"/>
      <c r="X917" s="36"/>
      <c r="AB917" s="37"/>
      <c r="AC917" s="38"/>
      <c r="AN917" s="39"/>
    </row>
    <row r="918" ht="15.75" customHeight="1">
      <c r="A918" s="40"/>
      <c r="T918" s="36"/>
      <c r="U918" s="36"/>
      <c r="V918" s="36"/>
      <c r="W918" s="36"/>
      <c r="X918" s="36"/>
      <c r="AB918" s="37"/>
      <c r="AC918" s="38"/>
      <c r="AN918" s="39"/>
    </row>
    <row r="919" ht="15.75" customHeight="1">
      <c r="A919" s="40"/>
      <c r="T919" s="36"/>
      <c r="U919" s="36"/>
      <c r="V919" s="36"/>
      <c r="W919" s="36"/>
      <c r="X919" s="36"/>
      <c r="AB919" s="37"/>
      <c r="AC919" s="38"/>
      <c r="AN919" s="39"/>
    </row>
    <row r="920" ht="15.75" customHeight="1">
      <c r="A920" s="40"/>
      <c r="T920" s="36"/>
      <c r="U920" s="36"/>
      <c r="V920" s="36"/>
      <c r="W920" s="36"/>
      <c r="X920" s="36"/>
      <c r="AB920" s="37"/>
      <c r="AC920" s="38"/>
      <c r="AN920" s="39"/>
    </row>
    <row r="921" ht="15.75" customHeight="1">
      <c r="A921" s="40"/>
      <c r="T921" s="36"/>
      <c r="U921" s="36"/>
      <c r="V921" s="36"/>
      <c r="W921" s="36"/>
      <c r="X921" s="36"/>
      <c r="AB921" s="37"/>
      <c r="AC921" s="38"/>
      <c r="AN921" s="39"/>
    </row>
    <row r="922" ht="15.75" customHeight="1">
      <c r="A922" s="40"/>
      <c r="T922" s="36"/>
      <c r="U922" s="36"/>
      <c r="V922" s="36"/>
      <c r="W922" s="36"/>
      <c r="X922" s="36"/>
      <c r="AB922" s="37"/>
      <c r="AC922" s="38"/>
      <c r="AN922" s="39"/>
    </row>
    <row r="923" ht="15.75" customHeight="1">
      <c r="A923" s="40"/>
      <c r="T923" s="36"/>
      <c r="U923" s="36"/>
      <c r="V923" s="36"/>
      <c r="W923" s="36"/>
      <c r="X923" s="36"/>
      <c r="AB923" s="37"/>
      <c r="AC923" s="38"/>
      <c r="AN923" s="39"/>
    </row>
    <row r="924" ht="15.75" customHeight="1">
      <c r="A924" s="40"/>
      <c r="T924" s="36"/>
      <c r="U924" s="36"/>
      <c r="V924" s="36"/>
      <c r="W924" s="36"/>
      <c r="X924" s="36"/>
      <c r="AB924" s="37"/>
      <c r="AC924" s="38"/>
      <c r="AN924" s="39"/>
    </row>
    <row r="925" ht="15.75" customHeight="1">
      <c r="A925" s="40"/>
      <c r="T925" s="36"/>
      <c r="U925" s="36"/>
      <c r="V925" s="36"/>
      <c r="W925" s="36"/>
      <c r="X925" s="36"/>
      <c r="AB925" s="37"/>
      <c r="AC925" s="38"/>
      <c r="AN925" s="39"/>
    </row>
    <row r="926" ht="15.75" customHeight="1">
      <c r="A926" s="40"/>
      <c r="T926" s="36"/>
      <c r="U926" s="36"/>
      <c r="V926" s="36"/>
      <c r="W926" s="36"/>
      <c r="X926" s="36"/>
      <c r="AB926" s="37"/>
      <c r="AC926" s="38"/>
      <c r="AN926" s="39"/>
    </row>
    <row r="927" ht="15.75" customHeight="1">
      <c r="A927" s="40"/>
      <c r="T927" s="36"/>
      <c r="U927" s="36"/>
      <c r="V927" s="36"/>
      <c r="W927" s="36"/>
      <c r="X927" s="36"/>
      <c r="AB927" s="37"/>
      <c r="AC927" s="38"/>
      <c r="AN927" s="39"/>
    </row>
    <row r="928" ht="15.75" customHeight="1">
      <c r="A928" s="40"/>
      <c r="T928" s="36"/>
      <c r="U928" s="36"/>
      <c r="V928" s="36"/>
      <c r="W928" s="36"/>
      <c r="X928" s="36"/>
      <c r="AB928" s="37"/>
      <c r="AC928" s="38"/>
      <c r="AN928" s="39"/>
    </row>
    <row r="929" ht="15.75" customHeight="1">
      <c r="A929" s="40"/>
      <c r="T929" s="36"/>
      <c r="U929" s="36"/>
      <c r="V929" s="36"/>
      <c r="W929" s="36"/>
      <c r="X929" s="36"/>
      <c r="AB929" s="37"/>
      <c r="AC929" s="38"/>
      <c r="AN929" s="39"/>
    </row>
    <row r="930" ht="15.75" customHeight="1">
      <c r="A930" s="40"/>
      <c r="T930" s="36"/>
      <c r="U930" s="36"/>
      <c r="V930" s="36"/>
      <c r="W930" s="36"/>
      <c r="X930" s="36"/>
      <c r="AB930" s="37"/>
      <c r="AC930" s="38"/>
      <c r="AN930" s="39"/>
    </row>
    <row r="931" ht="15.75" customHeight="1">
      <c r="A931" s="40"/>
      <c r="T931" s="36"/>
      <c r="U931" s="36"/>
      <c r="V931" s="36"/>
      <c r="W931" s="36"/>
      <c r="X931" s="36"/>
      <c r="AB931" s="37"/>
      <c r="AC931" s="38"/>
      <c r="AN931" s="39"/>
    </row>
    <row r="932" ht="15.75" customHeight="1">
      <c r="A932" s="40"/>
      <c r="T932" s="36"/>
      <c r="U932" s="36"/>
      <c r="V932" s="36"/>
      <c r="W932" s="36"/>
      <c r="X932" s="36"/>
      <c r="AB932" s="37"/>
      <c r="AC932" s="38"/>
      <c r="AN932" s="39"/>
    </row>
    <row r="933" ht="15.75" customHeight="1">
      <c r="A933" s="40"/>
      <c r="T933" s="36"/>
      <c r="U933" s="36"/>
      <c r="V933" s="36"/>
      <c r="W933" s="36"/>
      <c r="X933" s="36"/>
      <c r="AB933" s="37"/>
      <c r="AC933" s="38"/>
      <c r="AN933" s="39"/>
    </row>
    <row r="934" ht="15.75" customHeight="1">
      <c r="A934" s="40"/>
      <c r="T934" s="36"/>
      <c r="U934" s="36"/>
      <c r="V934" s="36"/>
      <c r="W934" s="36"/>
      <c r="X934" s="36"/>
      <c r="AB934" s="37"/>
      <c r="AC934" s="38"/>
      <c r="AN934" s="39"/>
    </row>
    <row r="935" ht="15.75" customHeight="1">
      <c r="A935" s="40"/>
      <c r="T935" s="36"/>
      <c r="U935" s="36"/>
      <c r="V935" s="36"/>
      <c r="W935" s="36"/>
      <c r="X935" s="36"/>
      <c r="AB935" s="37"/>
      <c r="AC935" s="38"/>
      <c r="AN935" s="39"/>
    </row>
    <row r="936" ht="15.75" customHeight="1">
      <c r="A936" s="40"/>
      <c r="T936" s="36"/>
      <c r="U936" s="36"/>
      <c r="V936" s="36"/>
      <c r="W936" s="36"/>
      <c r="X936" s="36"/>
      <c r="AB936" s="37"/>
      <c r="AC936" s="38"/>
      <c r="AN936" s="39"/>
    </row>
    <row r="937" ht="15.75" customHeight="1">
      <c r="A937" s="40"/>
      <c r="T937" s="36"/>
      <c r="U937" s="36"/>
      <c r="V937" s="36"/>
      <c r="W937" s="36"/>
      <c r="X937" s="36"/>
      <c r="AB937" s="37"/>
      <c r="AC937" s="38"/>
      <c r="AN937" s="39"/>
    </row>
    <row r="938" ht="15.75" customHeight="1">
      <c r="A938" s="40"/>
      <c r="T938" s="36"/>
      <c r="U938" s="36"/>
      <c r="V938" s="36"/>
      <c r="W938" s="36"/>
      <c r="X938" s="36"/>
      <c r="AB938" s="37"/>
      <c r="AC938" s="38"/>
      <c r="AN938" s="39"/>
    </row>
    <row r="939" ht="15.75" customHeight="1">
      <c r="A939" s="40"/>
      <c r="T939" s="36"/>
      <c r="U939" s="36"/>
      <c r="V939" s="36"/>
      <c r="W939" s="36"/>
      <c r="X939" s="36"/>
      <c r="AB939" s="37"/>
      <c r="AC939" s="38"/>
      <c r="AN939" s="39"/>
    </row>
    <row r="940" ht="15.75" customHeight="1">
      <c r="A940" s="40"/>
      <c r="T940" s="36"/>
      <c r="U940" s="36"/>
      <c r="V940" s="36"/>
      <c r="W940" s="36"/>
      <c r="X940" s="36"/>
      <c r="AB940" s="37"/>
      <c r="AC940" s="38"/>
      <c r="AN940" s="39"/>
    </row>
    <row r="941" ht="15.75" customHeight="1">
      <c r="A941" s="40"/>
      <c r="T941" s="36"/>
      <c r="U941" s="36"/>
      <c r="V941" s="36"/>
      <c r="W941" s="36"/>
      <c r="X941" s="36"/>
      <c r="AB941" s="37"/>
      <c r="AC941" s="38"/>
      <c r="AN941" s="39"/>
    </row>
    <row r="942" ht="15.75" customHeight="1">
      <c r="A942" s="40"/>
      <c r="T942" s="36"/>
      <c r="U942" s="36"/>
      <c r="V942" s="36"/>
      <c r="W942" s="36"/>
      <c r="X942" s="36"/>
      <c r="AB942" s="37"/>
      <c r="AC942" s="38"/>
      <c r="AN942" s="39"/>
    </row>
    <row r="943" ht="15.75" customHeight="1">
      <c r="A943" s="40"/>
      <c r="T943" s="36"/>
      <c r="U943" s="36"/>
      <c r="V943" s="36"/>
      <c r="W943" s="36"/>
      <c r="X943" s="36"/>
      <c r="AB943" s="37"/>
      <c r="AC943" s="38"/>
      <c r="AN943" s="39"/>
    </row>
    <row r="944" ht="15.75" customHeight="1">
      <c r="A944" s="40"/>
      <c r="T944" s="36"/>
      <c r="U944" s="36"/>
      <c r="V944" s="36"/>
      <c r="W944" s="36"/>
      <c r="X944" s="36"/>
      <c r="AB944" s="37"/>
      <c r="AC944" s="38"/>
      <c r="AN944" s="39"/>
    </row>
    <row r="945" ht="15.75" customHeight="1">
      <c r="A945" s="40"/>
      <c r="T945" s="36"/>
      <c r="U945" s="36"/>
      <c r="V945" s="36"/>
      <c r="W945" s="36"/>
      <c r="X945" s="36"/>
      <c r="AB945" s="37"/>
      <c r="AC945" s="38"/>
      <c r="AN945" s="39"/>
    </row>
    <row r="946" ht="15.75" customHeight="1">
      <c r="A946" s="40"/>
      <c r="T946" s="36"/>
      <c r="U946" s="36"/>
      <c r="V946" s="36"/>
      <c r="W946" s="36"/>
      <c r="X946" s="36"/>
      <c r="AB946" s="37"/>
      <c r="AC946" s="38"/>
      <c r="AN946" s="39"/>
    </row>
    <row r="947" ht="15.75" customHeight="1">
      <c r="A947" s="40"/>
      <c r="T947" s="36"/>
      <c r="U947" s="36"/>
      <c r="V947" s="36"/>
      <c r="W947" s="36"/>
      <c r="X947" s="36"/>
      <c r="AB947" s="37"/>
      <c r="AC947" s="38"/>
      <c r="AN947" s="39"/>
    </row>
    <row r="948" ht="15.75" customHeight="1">
      <c r="A948" s="40"/>
      <c r="T948" s="36"/>
      <c r="U948" s="36"/>
      <c r="V948" s="36"/>
      <c r="W948" s="36"/>
      <c r="X948" s="36"/>
      <c r="AB948" s="37"/>
      <c r="AC948" s="38"/>
      <c r="AN948" s="39"/>
    </row>
    <row r="949" ht="15.75" customHeight="1">
      <c r="A949" s="40"/>
      <c r="T949" s="36"/>
      <c r="U949" s="36"/>
      <c r="V949" s="36"/>
      <c r="W949" s="36"/>
      <c r="X949" s="36"/>
      <c r="AB949" s="37"/>
      <c r="AC949" s="38"/>
      <c r="AN949" s="39"/>
    </row>
    <row r="950" ht="15.75" customHeight="1">
      <c r="A950" s="40"/>
      <c r="T950" s="36"/>
      <c r="U950" s="36"/>
      <c r="V950" s="36"/>
      <c r="W950" s="36"/>
      <c r="X950" s="36"/>
      <c r="AB950" s="37"/>
      <c r="AC950" s="38"/>
      <c r="AN950" s="39"/>
    </row>
    <row r="951" ht="15.75" customHeight="1">
      <c r="A951" s="40"/>
      <c r="T951" s="36"/>
      <c r="U951" s="36"/>
      <c r="V951" s="36"/>
      <c r="W951" s="36"/>
      <c r="X951" s="36"/>
      <c r="AB951" s="37"/>
      <c r="AC951" s="38"/>
      <c r="AN951" s="39"/>
    </row>
    <row r="952" ht="15.75" customHeight="1">
      <c r="A952" s="40"/>
      <c r="T952" s="36"/>
      <c r="U952" s="36"/>
      <c r="V952" s="36"/>
      <c r="W952" s="36"/>
      <c r="X952" s="36"/>
      <c r="AB952" s="37"/>
      <c r="AC952" s="38"/>
      <c r="AN952" s="39"/>
    </row>
    <row r="953" ht="15.75" customHeight="1">
      <c r="A953" s="40"/>
      <c r="T953" s="36"/>
      <c r="U953" s="36"/>
      <c r="V953" s="36"/>
      <c r="W953" s="36"/>
      <c r="X953" s="36"/>
      <c r="AB953" s="37"/>
      <c r="AC953" s="38"/>
      <c r="AN953" s="39"/>
    </row>
    <row r="954" ht="15.75" customHeight="1">
      <c r="A954" s="40"/>
      <c r="T954" s="36"/>
      <c r="U954" s="36"/>
      <c r="V954" s="36"/>
      <c r="W954" s="36"/>
      <c r="X954" s="36"/>
      <c r="AB954" s="37"/>
      <c r="AC954" s="38"/>
      <c r="AN954" s="39"/>
    </row>
    <row r="955" ht="15.75" customHeight="1">
      <c r="A955" s="40"/>
      <c r="T955" s="36"/>
      <c r="U955" s="36"/>
      <c r="V955" s="36"/>
      <c r="W955" s="36"/>
      <c r="X955" s="36"/>
      <c r="AB955" s="37"/>
      <c r="AC955" s="38"/>
      <c r="AN955" s="39"/>
    </row>
    <row r="956" ht="15.75" customHeight="1">
      <c r="A956" s="40"/>
      <c r="T956" s="36"/>
      <c r="U956" s="36"/>
      <c r="V956" s="36"/>
      <c r="W956" s="36"/>
      <c r="X956" s="36"/>
      <c r="AB956" s="37"/>
      <c r="AC956" s="38"/>
      <c r="AN956" s="39"/>
    </row>
    <row r="957" ht="15.75" customHeight="1">
      <c r="A957" s="40"/>
      <c r="T957" s="36"/>
      <c r="U957" s="36"/>
      <c r="V957" s="36"/>
      <c r="W957" s="36"/>
      <c r="X957" s="36"/>
      <c r="AB957" s="37"/>
      <c r="AC957" s="38"/>
      <c r="AN957" s="39"/>
    </row>
    <row r="958" ht="15.75" customHeight="1">
      <c r="A958" s="40"/>
      <c r="T958" s="36"/>
      <c r="U958" s="36"/>
      <c r="V958" s="36"/>
      <c r="W958" s="36"/>
      <c r="X958" s="36"/>
      <c r="AB958" s="37"/>
      <c r="AC958" s="38"/>
      <c r="AN958" s="39"/>
    </row>
    <row r="959" ht="15.75" customHeight="1">
      <c r="A959" s="40"/>
      <c r="T959" s="36"/>
      <c r="U959" s="36"/>
      <c r="V959" s="36"/>
      <c r="W959" s="36"/>
      <c r="X959" s="36"/>
      <c r="AB959" s="37"/>
      <c r="AC959" s="38"/>
      <c r="AN959" s="39"/>
    </row>
    <row r="960" ht="15.75" customHeight="1">
      <c r="A960" s="40"/>
      <c r="T960" s="36"/>
      <c r="U960" s="36"/>
      <c r="V960" s="36"/>
      <c r="W960" s="36"/>
      <c r="X960" s="36"/>
      <c r="AB960" s="37"/>
      <c r="AC960" s="38"/>
      <c r="AN960" s="39"/>
    </row>
    <row r="961" ht="15.75" customHeight="1">
      <c r="A961" s="40"/>
      <c r="T961" s="36"/>
      <c r="U961" s="36"/>
      <c r="V961" s="36"/>
      <c r="W961" s="36"/>
      <c r="X961" s="36"/>
      <c r="AB961" s="37"/>
      <c r="AC961" s="38"/>
      <c r="AN961" s="39"/>
    </row>
    <row r="962" ht="15.75" customHeight="1">
      <c r="A962" s="40"/>
      <c r="T962" s="36"/>
      <c r="U962" s="36"/>
      <c r="V962" s="36"/>
      <c r="W962" s="36"/>
      <c r="X962" s="36"/>
      <c r="AB962" s="37"/>
      <c r="AC962" s="38"/>
      <c r="AN962" s="39"/>
    </row>
    <row r="963" ht="15.75" customHeight="1">
      <c r="A963" s="40"/>
      <c r="T963" s="36"/>
      <c r="U963" s="36"/>
      <c r="V963" s="36"/>
      <c r="W963" s="36"/>
      <c r="X963" s="36"/>
      <c r="AB963" s="37"/>
      <c r="AC963" s="38"/>
      <c r="AN963" s="39"/>
    </row>
    <row r="964" ht="15.75" customHeight="1">
      <c r="A964" s="40"/>
      <c r="T964" s="36"/>
      <c r="U964" s="36"/>
      <c r="V964" s="36"/>
      <c r="W964" s="36"/>
      <c r="X964" s="36"/>
      <c r="AB964" s="37"/>
      <c r="AC964" s="38"/>
      <c r="AN964" s="39"/>
    </row>
    <row r="965" ht="15.75" customHeight="1">
      <c r="A965" s="40"/>
      <c r="T965" s="36"/>
      <c r="U965" s="36"/>
      <c r="V965" s="36"/>
      <c r="W965" s="36"/>
      <c r="X965" s="36"/>
      <c r="AB965" s="37"/>
      <c r="AC965" s="38"/>
      <c r="AN965" s="39"/>
    </row>
    <row r="966" ht="15.75" customHeight="1">
      <c r="A966" s="40"/>
      <c r="T966" s="36"/>
      <c r="U966" s="36"/>
      <c r="V966" s="36"/>
      <c r="W966" s="36"/>
      <c r="X966" s="36"/>
      <c r="AB966" s="37"/>
      <c r="AC966" s="38"/>
      <c r="AN966" s="39"/>
    </row>
    <row r="967" ht="15.75" customHeight="1">
      <c r="A967" s="40"/>
      <c r="T967" s="36"/>
      <c r="U967" s="36"/>
      <c r="V967" s="36"/>
      <c r="W967" s="36"/>
      <c r="X967" s="36"/>
      <c r="AB967" s="37"/>
      <c r="AC967" s="38"/>
      <c r="AN967" s="39"/>
    </row>
    <row r="968" ht="15.75" customHeight="1">
      <c r="A968" s="40"/>
      <c r="T968" s="36"/>
      <c r="U968" s="36"/>
      <c r="V968" s="36"/>
      <c r="W968" s="36"/>
      <c r="X968" s="36"/>
      <c r="AB968" s="37"/>
      <c r="AC968" s="38"/>
      <c r="AN968" s="39"/>
    </row>
    <row r="969" ht="15.75" customHeight="1">
      <c r="A969" s="40"/>
      <c r="T969" s="36"/>
      <c r="U969" s="36"/>
      <c r="V969" s="36"/>
      <c r="W969" s="36"/>
      <c r="X969" s="36"/>
      <c r="AB969" s="37"/>
      <c r="AC969" s="38"/>
      <c r="AN969" s="39"/>
    </row>
    <row r="970" ht="15.75" customHeight="1">
      <c r="A970" s="40"/>
      <c r="T970" s="36"/>
      <c r="U970" s="36"/>
      <c r="V970" s="36"/>
      <c r="W970" s="36"/>
      <c r="X970" s="36"/>
      <c r="AB970" s="37"/>
      <c r="AC970" s="38"/>
      <c r="AN970" s="39"/>
    </row>
    <row r="971" ht="15.75" customHeight="1">
      <c r="A971" s="40"/>
      <c r="T971" s="36"/>
      <c r="U971" s="36"/>
      <c r="V971" s="36"/>
      <c r="W971" s="36"/>
      <c r="X971" s="36"/>
      <c r="AB971" s="37"/>
      <c r="AC971" s="38"/>
      <c r="AN971" s="39"/>
    </row>
    <row r="972" ht="15.75" customHeight="1">
      <c r="A972" s="40"/>
      <c r="T972" s="36"/>
      <c r="U972" s="36"/>
      <c r="V972" s="36"/>
      <c r="W972" s="36"/>
      <c r="X972" s="36"/>
      <c r="AB972" s="37"/>
      <c r="AC972" s="38"/>
      <c r="AN972" s="39"/>
    </row>
    <row r="973" ht="15.75" customHeight="1">
      <c r="A973" s="40"/>
      <c r="T973" s="36"/>
      <c r="U973" s="36"/>
      <c r="V973" s="36"/>
      <c r="W973" s="36"/>
      <c r="X973" s="36"/>
      <c r="AB973" s="37"/>
      <c r="AC973" s="38"/>
      <c r="AN973" s="39"/>
    </row>
    <row r="974" ht="15.75" customHeight="1">
      <c r="A974" s="40"/>
      <c r="T974" s="36"/>
      <c r="U974" s="36"/>
      <c r="V974" s="36"/>
      <c r="W974" s="36"/>
      <c r="X974" s="36"/>
      <c r="AB974" s="37"/>
      <c r="AC974" s="38"/>
      <c r="AN974" s="39"/>
    </row>
    <row r="975" ht="15.75" customHeight="1">
      <c r="A975" s="40"/>
      <c r="T975" s="36"/>
      <c r="U975" s="36"/>
      <c r="V975" s="36"/>
      <c r="W975" s="36"/>
      <c r="X975" s="36"/>
      <c r="AB975" s="37"/>
      <c r="AC975" s="38"/>
      <c r="AN975" s="39"/>
    </row>
    <row r="976" ht="15.75" customHeight="1">
      <c r="A976" s="40"/>
      <c r="T976" s="36"/>
      <c r="U976" s="36"/>
      <c r="V976" s="36"/>
      <c r="W976" s="36"/>
      <c r="X976" s="36"/>
      <c r="AB976" s="37"/>
      <c r="AC976" s="38"/>
      <c r="AN976" s="39"/>
    </row>
    <row r="977" ht="15.75" customHeight="1">
      <c r="A977" s="40"/>
      <c r="T977" s="36"/>
      <c r="U977" s="36"/>
      <c r="V977" s="36"/>
      <c r="W977" s="36"/>
      <c r="X977" s="36"/>
      <c r="AB977" s="37"/>
      <c r="AC977" s="38"/>
      <c r="AN977" s="39"/>
    </row>
    <row r="978" ht="15.75" customHeight="1">
      <c r="A978" s="40"/>
      <c r="T978" s="36"/>
      <c r="U978" s="36"/>
      <c r="V978" s="36"/>
      <c r="W978" s="36"/>
      <c r="X978" s="36"/>
      <c r="AB978" s="37"/>
      <c r="AC978" s="38"/>
      <c r="AN978" s="39"/>
    </row>
    <row r="979" ht="15.75" customHeight="1">
      <c r="A979" s="40"/>
      <c r="T979" s="36"/>
      <c r="U979" s="36"/>
      <c r="V979" s="36"/>
      <c r="W979" s="36"/>
      <c r="X979" s="36"/>
      <c r="AB979" s="37"/>
      <c r="AC979" s="38"/>
      <c r="AN979" s="39"/>
    </row>
    <row r="980" ht="15.75" customHeight="1">
      <c r="A980" s="40"/>
      <c r="T980" s="36"/>
      <c r="U980" s="36"/>
      <c r="V980" s="36"/>
      <c r="W980" s="36"/>
      <c r="X980" s="36"/>
      <c r="AB980" s="37"/>
      <c r="AC980" s="38"/>
      <c r="AN980" s="39"/>
    </row>
    <row r="981" ht="15.75" customHeight="1">
      <c r="A981" s="40"/>
      <c r="T981" s="36"/>
      <c r="U981" s="36"/>
      <c r="V981" s="36"/>
      <c r="W981" s="36"/>
      <c r="X981" s="36"/>
      <c r="AB981" s="37"/>
      <c r="AC981" s="38"/>
      <c r="AN981" s="39"/>
    </row>
    <row r="982" ht="15.75" customHeight="1">
      <c r="A982" s="40"/>
      <c r="T982" s="36"/>
      <c r="U982" s="36"/>
      <c r="V982" s="36"/>
      <c r="W982" s="36"/>
      <c r="X982" s="36"/>
      <c r="AB982" s="37"/>
      <c r="AC982" s="38"/>
      <c r="AN982" s="39"/>
    </row>
    <row r="983" ht="15.75" customHeight="1">
      <c r="A983" s="40"/>
      <c r="T983" s="36"/>
      <c r="U983" s="36"/>
      <c r="V983" s="36"/>
      <c r="W983" s="36"/>
      <c r="X983" s="36"/>
      <c r="AB983" s="37"/>
      <c r="AC983" s="38"/>
      <c r="AN983" s="39"/>
    </row>
    <row r="984" ht="15.75" customHeight="1">
      <c r="A984" s="40"/>
      <c r="T984" s="36"/>
      <c r="U984" s="36"/>
      <c r="V984" s="36"/>
      <c r="W984" s="36"/>
      <c r="X984" s="36"/>
      <c r="AB984" s="37"/>
      <c r="AC984" s="38"/>
      <c r="AN984" s="39"/>
    </row>
    <row r="985" ht="15.75" customHeight="1">
      <c r="A985" s="40"/>
      <c r="T985" s="36"/>
      <c r="U985" s="36"/>
      <c r="V985" s="36"/>
      <c r="W985" s="36"/>
      <c r="X985" s="36"/>
      <c r="AB985" s="37"/>
      <c r="AC985" s="38"/>
      <c r="AN985" s="39"/>
    </row>
    <row r="986" ht="15.75" customHeight="1">
      <c r="A986" s="40"/>
      <c r="T986" s="36"/>
      <c r="U986" s="36"/>
      <c r="V986" s="36"/>
      <c r="W986" s="36"/>
      <c r="X986" s="36"/>
      <c r="AB986" s="37"/>
      <c r="AC986" s="38"/>
      <c r="AN986" s="39"/>
    </row>
    <row r="987" ht="15.75" customHeight="1">
      <c r="A987" s="40"/>
      <c r="T987" s="36"/>
      <c r="U987" s="36"/>
      <c r="V987" s="36"/>
      <c r="W987" s="36"/>
      <c r="X987" s="36"/>
      <c r="AB987" s="37"/>
      <c r="AC987" s="38"/>
      <c r="AN987" s="39"/>
    </row>
    <row r="988" ht="15.75" customHeight="1">
      <c r="A988" s="40"/>
      <c r="T988" s="36"/>
      <c r="U988" s="36"/>
      <c r="V988" s="36"/>
      <c r="W988" s="36"/>
      <c r="X988" s="36"/>
      <c r="AB988" s="37"/>
      <c r="AC988" s="38"/>
      <c r="AN988" s="39"/>
    </row>
    <row r="989" ht="15.75" customHeight="1">
      <c r="A989" s="40"/>
      <c r="T989" s="36"/>
      <c r="U989" s="36"/>
      <c r="V989" s="36"/>
      <c r="W989" s="36"/>
      <c r="X989" s="36"/>
      <c r="AB989" s="37"/>
      <c r="AC989" s="38"/>
      <c r="AN989" s="39"/>
    </row>
    <row r="990" ht="15.75" customHeight="1">
      <c r="A990" s="40"/>
      <c r="T990" s="36"/>
      <c r="U990" s="36"/>
      <c r="V990" s="36"/>
      <c r="W990" s="36"/>
      <c r="X990" s="36"/>
      <c r="AB990" s="37"/>
      <c r="AC990" s="38"/>
      <c r="AN990" s="39"/>
    </row>
    <row r="991" ht="15.75" customHeight="1">
      <c r="A991" s="40"/>
      <c r="T991" s="36"/>
      <c r="U991" s="36"/>
      <c r="V991" s="36"/>
      <c r="W991" s="36"/>
      <c r="X991" s="36"/>
      <c r="AB991" s="37"/>
      <c r="AC991" s="38"/>
      <c r="AN991" s="39"/>
    </row>
    <row r="992" ht="15.75" customHeight="1">
      <c r="A992" s="40"/>
      <c r="T992" s="36"/>
      <c r="U992" s="36"/>
      <c r="V992" s="36"/>
      <c r="W992" s="36"/>
      <c r="X992" s="36"/>
      <c r="AB992" s="37"/>
      <c r="AC992" s="38"/>
      <c r="AN992" s="39"/>
    </row>
    <row r="993" ht="15.75" customHeight="1">
      <c r="A993" s="40"/>
      <c r="T993" s="36"/>
      <c r="U993" s="36"/>
      <c r="V993" s="36"/>
      <c r="W993" s="36"/>
      <c r="X993" s="36"/>
      <c r="AB993" s="37"/>
      <c r="AC993" s="38"/>
      <c r="AN993" s="39"/>
    </row>
    <row r="994" ht="15.75" customHeight="1">
      <c r="A994" s="40"/>
      <c r="T994" s="36"/>
      <c r="U994" s="36"/>
      <c r="V994" s="36"/>
      <c r="W994" s="36"/>
      <c r="X994" s="36"/>
      <c r="AB994" s="37"/>
      <c r="AC994" s="38"/>
      <c r="AN994" s="39"/>
    </row>
    <row r="995" ht="15.75" customHeight="1">
      <c r="A995" s="40"/>
      <c r="T995" s="36"/>
      <c r="U995" s="36"/>
      <c r="V995" s="36"/>
      <c r="W995" s="36"/>
      <c r="X995" s="36"/>
      <c r="AB995" s="37"/>
      <c r="AC995" s="38"/>
      <c r="AN995" s="39"/>
    </row>
    <row r="996" ht="15.75" customHeight="1">
      <c r="A996" s="40"/>
      <c r="T996" s="36"/>
      <c r="U996" s="36"/>
      <c r="V996" s="36"/>
      <c r="W996" s="36"/>
      <c r="X996" s="36"/>
      <c r="AB996" s="37"/>
      <c r="AC996" s="38"/>
      <c r="AN996" s="39"/>
    </row>
    <row r="997" ht="15.75" customHeight="1">
      <c r="A997" s="40"/>
      <c r="T997" s="36"/>
      <c r="U997" s="36"/>
      <c r="V997" s="36"/>
      <c r="W997" s="36"/>
      <c r="X997" s="36"/>
      <c r="AB997" s="37"/>
      <c r="AC997" s="38"/>
      <c r="AN997" s="39"/>
    </row>
    <row r="998" ht="15.75" customHeight="1">
      <c r="A998" s="40"/>
      <c r="T998" s="36"/>
      <c r="U998" s="36"/>
      <c r="V998" s="36"/>
      <c r="W998" s="36"/>
      <c r="X998" s="36"/>
      <c r="AB998" s="37"/>
      <c r="AC998" s="38"/>
      <c r="AN998" s="39"/>
    </row>
    <row r="999" ht="15.75" customHeight="1">
      <c r="A999" s="40"/>
      <c r="T999" s="36"/>
      <c r="U999" s="36"/>
      <c r="V999" s="36"/>
      <c r="W999" s="36"/>
      <c r="X999" s="36"/>
      <c r="AB999" s="37"/>
      <c r="AC999" s="38"/>
      <c r="AN999" s="39"/>
    </row>
    <row r="1000" ht="15.75" customHeight="1">
      <c r="A1000" s="40"/>
      <c r="T1000" s="36"/>
      <c r="U1000" s="36"/>
      <c r="V1000" s="36"/>
      <c r="W1000" s="36"/>
      <c r="X1000" s="36"/>
      <c r="AB1000" s="37"/>
      <c r="AC1000" s="38"/>
      <c r="AN1000" s="39"/>
    </row>
  </sheetData>
  <hyperlinks>
    <hyperlink r:id="rId2" ref="M2"/>
    <hyperlink r:id="rId3" ref="N2"/>
    <hyperlink r:id="rId4" ref="M3"/>
    <hyperlink r:id="rId5" ref="N3"/>
    <hyperlink r:id="rId6" ref="J4"/>
    <hyperlink r:id="rId7" ref="K5"/>
    <hyperlink r:id="rId8" ref="M5"/>
    <hyperlink r:id="rId9" ref="N5"/>
    <hyperlink r:id="rId10" ref="K6"/>
    <hyperlink r:id="rId11" ref="M6"/>
    <hyperlink r:id="rId12" ref="N6"/>
    <hyperlink r:id="rId13" ref="K7"/>
    <hyperlink r:id="rId14" ref="M7"/>
    <hyperlink r:id="rId15" ref="N7"/>
    <hyperlink r:id="rId16" ref="K10"/>
    <hyperlink r:id="rId17" ref="M10"/>
    <hyperlink r:id="rId18" ref="N10"/>
    <hyperlink r:id="rId19" ref="K12"/>
    <hyperlink r:id="rId20" ref="J13"/>
    <hyperlink r:id="rId21" ref="J15"/>
    <hyperlink r:id="rId22" ref="M15"/>
    <hyperlink r:id="rId23" ref="N15"/>
    <hyperlink r:id="rId24" ref="K16"/>
    <hyperlink r:id="rId25" ref="M16"/>
    <hyperlink r:id="rId26" ref="N16"/>
    <hyperlink r:id="rId27" ref="J17"/>
    <hyperlink r:id="rId28" ref="K17"/>
    <hyperlink r:id="rId29" ref="M17"/>
    <hyperlink r:id="rId30" ref="N17"/>
    <hyperlink r:id="rId31" ref="K18"/>
    <hyperlink r:id="rId32" ref="K19"/>
    <hyperlink r:id="rId33" ref="M19"/>
    <hyperlink r:id="rId34" ref="J20"/>
    <hyperlink r:id="rId35" ref="M20"/>
    <hyperlink r:id="rId36" ref="N20"/>
    <hyperlink r:id="rId37" ref="J21"/>
    <hyperlink r:id="rId38" ref="M21"/>
    <hyperlink r:id="rId39" ref="N21"/>
    <hyperlink r:id="rId40" ref="M22"/>
    <hyperlink r:id="rId41" ref="N22"/>
    <hyperlink r:id="rId42" ref="J23"/>
    <hyperlink r:id="rId43" ref="M23"/>
    <hyperlink r:id="rId44" ref="N23"/>
    <hyperlink r:id="rId45" ref="J24"/>
    <hyperlink r:id="rId46" ref="K24"/>
    <hyperlink r:id="rId47" ref="J25"/>
    <hyperlink r:id="rId48" ref="K25"/>
    <hyperlink r:id="rId49" ref="M25"/>
    <hyperlink r:id="rId50" ref="N25"/>
    <hyperlink r:id="rId51" ref="J26"/>
    <hyperlink r:id="rId52" ref="K26"/>
    <hyperlink r:id="rId53" ref="M26"/>
    <hyperlink r:id="rId54" ref="N26"/>
    <hyperlink r:id="rId55" ref="K27"/>
    <hyperlink r:id="rId56" ref="M27"/>
    <hyperlink r:id="rId57" ref="K28"/>
    <hyperlink r:id="rId58" ref="J29"/>
    <hyperlink r:id="rId59" ref="K29"/>
    <hyperlink r:id="rId60" ref="M29"/>
    <hyperlink r:id="rId61" ref="N29"/>
    <hyperlink r:id="rId62" ref="J30"/>
    <hyperlink r:id="rId63" ref="K30"/>
    <hyperlink r:id="rId64" ref="M30"/>
    <hyperlink r:id="rId65" ref="N30"/>
    <hyperlink r:id="rId66" ref="J31"/>
    <hyperlink r:id="rId67" ref="M31"/>
    <hyperlink r:id="rId68" ref="N31"/>
    <hyperlink r:id="rId69" ref="J32"/>
    <hyperlink r:id="rId70" ref="M33"/>
    <hyperlink r:id="rId71" ref="N33"/>
    <hyperlink r:id="rId72" ref="M34"/>
    <hyperlink r:id="rId73" ref="J35"/>
    <hyperlink r:id="rId74" ref="K35"/>
    <hyperlink r:id="rId75" ref="J36"/>
    <hyperlink r:id="rId76" ref="K36"/>
    <hyperlink r:id="rId77" ref="M36"/>
    <hyperlink r:id="rId78" ref="N36"/>
    <hyperlink r:id="rId79" ref="J37"/>
    <hyperlink r:id="rId80" ref="K37"/>
    <hyperlink r:id="rId81" ref="M37"/>
    <hyperlink r:id="rId82" ref="N37"/>
    <hyperlink r:id="rId83" ref="J38"/>
    <hyperlink r:id="rId84" ref="K38"/>
    <hyperlink r:id="rId85" ref="M38"/>
    <hyperlink r:id="rId86" ref="N38"/>
    <hyperlink r:id="rId87" ref="K39"/>
    <hyperlink r:id="rId88" ref="M39"/>
    <hyperlink r:id="rId89" ref="N39"/>
    <hyperlink r:id="rId90" ref="J40"/>
    <hyperlink r:id="rId91" ref="K40"/>
    <hyperlink r:id="rId92" ref="M40"/>
    <hyperlink r:id="rId93" ref="N40"/>
    <hyperlink r:id="rId94" ref="J42"/>
    <hyperlink r:id="rId95" ref="K42"/>
    <hyperlink r:id="rId96" ref="M42"/>
    <hyperlink r:id="rId97" ref="N42"/>
    <hyperlink r:id="rId98" ref="J44"/>
    <hyperlink r:id="rId99" ref="K44"/>
    <hyperlink r:id="rId100" ref="M44"/>
    <hyperlink r:id="rId101" ref="N44"/>
    <hyperlink r:id="rId102" ref="J45"/>
    <hyperlink r:id="rId103" ref="M45"/>
    <hyperlink r:id="rId104" ref="N45"/>
    <hyperlink r:id="rId105" ref="K46"/>
    <hyperlink r:id="rId106" ref="M46"/>
    <hyperlink r:id="rId107" ref="N46"/>
    <hyperlink r:id="rId108" ref="J47"/>
    <hyperlink r:id="rId109" ref="M47"/>
    <hyperlink r:id="rId110" ref="N47"/>
    <hyperlink r:id="rId111" ref="K48"/>
    <hyperlink r:id="rId112" ref="M48"/>
    <hyperlink r:id="rId113" ref="N48"/>
    <hyperlink r:id="rId114" ref="K49"/>
    <hyperlink r:id="rId115" ref="M49"/>
    <hyperlink r:id="rId116" ref="N49"/>
    <hyperlink r:id="rId117" ref="J50"/>
    <hyperlink r:id="rId118" ref="K50"/>
    <hyperlink r:id="rId119" ref="M50"/>
    <hyperlink r:id="rId120" ref="J51"/>
    <hyperlink r:id="rId121" ref="K51"/>
    <hyperlink r:id="rId122" ref="M51"/>
    <hyperlink r:id="rId123" ref="N51"/>
  </hyperlinks>
  <printOptions/>
  <pageMargins bottom="1.0" footer="0.0" header="0.0" left="0.75" right="0.75" top="1.0"/>
  <pageSetup orientation="landscape"/>
  <drawing r:id="rId124"/>
  <legacyDrawing r:id="rId1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2026-04-30T06:38:27Z</dcterms:created>
  <dc:creator>openpyxl</dc:creator>
</cp:coreProperties>
</file>